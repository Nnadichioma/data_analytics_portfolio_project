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earning_data_analytics\"/>
    </mc:Choice>
  </mc:AlternateContent>
  <xr:revisionPtr revIDLastSave="0" documentId="8_{102FB116-E4B8-4852-BE6F-698B5B826D99}" xr6:coauthVersionLast="47" xr6:coauthVersionMax="47" xr10:uidLastSave="{00000000-0000-0000-0000-000000000000}"/>
  <bookViews>
    <workbookView xWindow="-108" yWindow="-108" windowWidth="23256" windowHeight="12456" firstSheet="1" activeTab="3" xr2:uid="{B0BC4611-3B44-4589-8019-6B72776E4D06}"/>
  </bookViews>
  <sheets>
    <sheet name="Raw_June_Statement" sheetId="9" state="hidden" r:id="rId1"/>
    <sheet name="Cleaned_June_Statement" sheetId="10" r:id="rId2"/>
    <sheet name="Raw_July_Statement" sheetId="15" state="hidden" r:id="rId3"/>
    <sheet name="Cleaned_July_Statement" sheetId="16" r:id="rId4"/>
    <sheet name="Raw_August_Statement" sheetId="20" state="hidden" r:id="rId5"/>
    <sheet name="Cleaned_August_Statement" sheetId="21" r:id="rId6"/>
    <sheet name="MasterSheet" sheetId="22" r:id="rId7"/>
    <sheet name="Categories" sheetId="23" r:id="rId8"/>
    <sheet name="SubCategories" sheetId="25" r:id="rId9"/>
  </sheets>
  <definedNames>
    <definedName name="ExternalData_3" localSheetId="1" hidden="1">Cleaned_June_Statement!$A$1:$F$37</definedName>
    <definedName name="ExternalData_3" localSheetId="6" hidden="1">MasterSheet!$A$1:$G$37</definedName>
    <definedName name="ExternalData_3" localSheetId="0" hidden="1">Raw_June_Statement!$A$1:$F$37</definedName>
    <definedName name="ExternalData_4" localSheetId="5" hidden="1">Cleaned_August_Statement!$A$1:$G$61</definedName>
    <definedName name="ExternalData_4" localSheetId="4" hidden="1">Raw_August_Statement!$A$1:$G$61</definedName>
    <definedName name="ExternalData_5" localSheetId="3" hidden="1">Cleaned_July_Statement!$A$1:$H$64</definedName>
    <definedName name="ExternalData_5" localSheetId="2" hidden="1">Raw_July_Statement!$A$1:$H$64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2" l="1"/>
  <c r="H3" i="22"/>
  <c r="H4" i="22"/>
  <c r="I4" i="22" s="1"/>
  <c r="H5" i="22"/>
  <c r="H6" i="22"/>
  <c r="H7" i="22"/>
  <c r="H8" i="22"/>
  <c r="H9" i="22"/>
  <c r="H10" i="22"/>
  <c r="H11" i="22"/>
  <c r="H12" i="22"/>
  <c r="I12" i="22" s="1"/>
  <c r="H13" i="22"/>
  <c r="H14" i="22"/>
  <c r="H15" i="22"/>
  <c r="H16" i="22"/>
  <c r="H17" i="22"/>
  <c r="H18" i="22"/>
  <c r="H19" i="22"/>
  <c r="H20" i="22"/>
  <c r="I20" i="22" s="1"/>
  <c r="H21" i="22"/>
  <c r="H22" i="22"/>
  <c r="H23" i="22"/>
  <c r="H24" i="22"/>
  <c r="H25" i="22"/>
  <c r="H26" i="22"/>
  <c r="H27" i="22"/>
  <c r="H28" i="22"/>
  <c r="I28" i="22" s="1"/>
  <c r="H29" i="22"/>
  <c r="H30" i="22"/>
  <c r="H31" i="22"/>
  <c r="H32" i="22"/>
  <c r="H33" i="22"/>
  <c r="H34" i="22"/>
  <c r="H35" i="22"/>
  <c r="H36" i="22"/>
  <c r="I36" i="22" s="1"/>
  <c r="H37" i="22"/>
  <c r="I160" i="22"/>
  <c r="I159" i="22"/>
  <c r="I158" i="22"/>
  <c r="I157" i="22"/>
  <c r="I156" i="22"/>
  <c r="I155" i="22"/>
  <c r="I154" i="22"/>
  <c r="I153" i="22"/>
  <c r="I152" i="22"/>
  <c r="I151" i="22"/>
  <c r="I150" i="22"/>
  <c r="I149" i="22"/>
  <c r="I148" i="22"/>
  <c r="I147" i="22"/>
  <c r="I146" i="22"/>
  <c r="I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H100" i="22"/>
  <c r="I100" i="22" s="1"/>
  <c r="H99" i="22"/>
  <c r="I99" i="22" s="1"/>
  <c r="H98" i="22"/>
  <c r="I98" i="22" s="1"/>
  <c r="H97" i="22"/>
  <c r="I97" i="22" s="1"/>
  <c r="H96" i="22"/>
  <c r="I96" i="22" s="1"/>
  <c r="H95" i="22"/>
  <c r="I95" i="22" s="1"/>
  <c r="H94" i="22"/>
  <c r="I94" i="22" s="1"/>
  <c r="H93" i="22"/>
  <c r="I93" i="22" s="1"/>
  <c r="H92" i="22"/>
  <c r="I92" i="22" s="1"/>
  <c r="H91" i="22"/>
  <c r="I91" i="22" s="1"/>
  <c r="H90" i="22"/>
  <c r="I90" i="22" s="1"/>
  <c r="H89" i="22"/>
  <c r="I89" i="22" s="1"/>
  <c r="H88" i="22"/>
  <c r="I88" i="22" s="1"/>
  <c r="H87" i="22"/>
  <c r="I87" i="22" s="1"/>
  <c r="H86" i="22"/>
  <c r="I86" i="22" s="1"/>
  <c r="I85" i="22"/>
  <c r="H85" i="22"/>
  <c r="H84" i="22"/>
  <c r="I84" i="22" s="1"/>
  <c r="H83" i="22"/>
  <c r="I83" i="22" s="1"/>
  <c r="H82" i="22"/>
  <c r="I82" i="22" s="1"/>
  <c r="I81" i="22"/>
  <c r="H81" i="22"/>
  <c r="H80" i="22"/>
  <c r="I80" i="22" s="1"/>
  <c r="H79" i="22"/>
  <c r="I79" i="22" s="1"/>
  <c r="H78" i="22"/>
  <c r="I78" i="22" s="1"/>
  <c r="I77" i="22"/>
  <c r="H77" i="22"/>
  <c r="H76" i="22"/>
  <c r="I76" i="22" s="1"/>
  <c r="H75" i="22"/>
  <c r="I75" i="22" s="1"/>
  <c r="H74" i="22"/>
  <c r="I74" i="22" s="1"/>
  <c r="H73" i="22"/>
  <c r="I73" i="22" s="1"/>
  <c r="H72" i="22"/>
  <c r="I72" i="22" s="1"/>
  <c r="H71" i="22"/>
  <c r="I71" i="22" s="1"/>
  <c r="H70" i="22"/>
  <c r="I70" i="22" s="1"/>
  <c r="H69" i="22"/>
  <c r="I69" i="22" s="1"/>
  <c r="H68" i="22"/>
  <c r="I68" i="22" s="1"/>
  <c r="H67" i="22"/>
  <c r="I67" i="22" s="1"/>
  <c r="H66" i="22"/>
  <c r="I66" i="22" s="1"/>
  <c r="H65" i="22"/>
  <c r="I65" i="22" s="1"/>
  <c r="H64" i="22"/>
  <c r="I64" i="22" s="1"/>
  <c r="H63" i="22"/>
  <c r="I63" i="22" s="1"/>
  <c r="H62" i="22"/>
  <c r="I62" i="22" s="1"/>
  <c r="H61" i="22"/>
  <c r="I61" i="22" s="1"/>
  <c r="H60" i="22"/>
  <c r="I60" i="22" s="1"/>
  <c r="H59" i="22"/>
  <c r="I59" i="22" s="1"/>
  <c r="H58" i="22"/>
  <c r="I58" i="22" s="1"/>
  <c r="H57" i="22"/>
  <c r="I57" i="22" s="1"/>
  <c r="H56" i="22"/>
  <c r="I56" i="22" s="1"/>
  <c r="H55" i="22"/>
  <c r="I55" i="22" s="1"/>
  <c r="H54" i="22"/>
  <c r="I54" i="22" s="1"/>
  <c r="I53" i="22"/>
  <c r="H53" i="22"/>
  <c r="H52" i="22"/>
  <c r="I52" i="22" s="1"/>
  <c r="H51" i="22"/>
  <c r="I51" i="22" s="1"/>
  <c r="H50" i="22"/>
  <c r="I50" i="22" s="1"/>
  <c r="I49" i="22"/>
  <c r="H49" i="22"/>
  <c r="H48" i="22"/>
  <c r="I48" i="22" s="1"/>
  <c r="H47" i="22"/>
  <c r="I47" i="22" s="1"/>
  <c r="H46" i="22"/>
  <c r="I46" i="22" s="1"/>
  <c r="I45" i="22"/>
  <c r="H45" i="22"/>
  <c r="H44" i="22"/>
  <c r="I44" i="22" s="1"/>
  <c r="H43" i="22"/>
  <c r="I43" i="22" s="1"/>
  <c r="H42" i="22"/>
  <c r="I42" i="22" s="1"/>
  <c r="I41" i="22"/>
  <c r="H41" i="22"/>
  <c r="H40" i="22"/>
  <c r="I40" i="22" s="1"/>
  <c r="H39" i="22"/>
  <c r="I39" i="22" s="1"/>
  <c r="H38" i="22"/>
  <c r="I38" i="22" s="1"/>
  <c r="I37" i="22"/>
  <c r="I35" i="22"/>
  <c r="I34" i="22"/>
  <c r="I33" i="22"/>
  <c r="I32" i="22"/>
  <c r="I31" i="22"/>
  <c r="I30" i="22"/>
  <c r="I29" i="22"/>
  <c r="I27" i="22"/>
  <c r="I26" i="22"/>
  <c r="I25" i="22"/>
  <c r="I24" i="22"/>
  <c r="I23" i="22"/>
  <c r="I22" i="22"/>
  <c r="I21" i="22"/>
  <c r="I19" i="22"/>
  <c r="I18" i="22"/>
  <c r="I17" i="22"/>
  <c r="I16" i="22"/>
  <c r="I15" i="22"/>
  <c r="I14" i="22"/>
  <c r="I13" i="22"/>
  <c r="I11" i="22"/>
  <c r="I10" i="22"/>
  <c r="I9" i="22"/>
  <c r="I8" i="22"/>
  <c r="I7" i="22"/>
  <c r="I6" i="22"/>
  <c r="I5" i="22"/>
  <c r="I3" i="22"/>
  <c r="I2" i="22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H2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G64" i="16"/>
  <c r="H64" i="16" s="1"/>
  <c r="G63" i="16"/>
  <c r="H63" i="16" s="1"/>
  <c r="G62" i="16"/>
  <c r="H62" i="16" s="1"/>
  <c r="G61" i="16"/>
  <c r="H61" i="16" s="1"/>
  <c r="G60" i="16"/>
  <c r="H60" i="16" s="1"/>
  <c r="G59" i="16"/>
  <c r="H59" i="16" s="1"/>
  <c r="G58" i="16"/>
  <c r="H58" i="16" s="1"/>
  <c r="G57" i="16"/>
  <c r="H57" i="16" s="1"/>
  <c r="G56" i="16"/>
  <c r="H56" i="16" s="1"/>
  <c r="G55" i="16"/>
  <c r="H55" i="16" s="1"/>
  <c r="G54" i="16"/>
  <c r="H54" i="16" s="1"/>
  <c r="G53" i="16"/>
  <c r="H53" i="16" s="1"/>
  <c r="G52" i="16"/>
  <c r="H52" i="16" s="1"/>
  <c r="G51" i="16"/>
  <c r="H51" i="16" s="1"/>
  <c r="G50" i="16"/>
  <c r="H50" i="16" s="1"/>
  <c r="G49" i="16"/>
  <c r="H49" i="16" s="1"/>
  <c r="G48" i="16"/>
  <c r="H48" i="16" s="1"/>
  <c r="G47" i="16"/>
  <c r="H47" i="16" s="1"/>
  <c r="G46" i="16"/>
  <c r="H46" i="16" s="1"/>
  <c r="G45" i="16"/>
  <c r="H45" i="16" s="1"/>
  <c r="G44" i="16"/>
  <c r="H44" i="16" s="1"/>
  <c r="G43" i="16"/>
  <c r="H43" i="16" s="1"/>
  <c r="G42" i="16"/>
  <c r="H42" i="16" s="1"/>
  <c r="G41" i="16"/>
  <c r="H41" i="16" s="1"/>
  <c r="G40" i="16"/>
  <c r="H40" i="16" s="1"/>
  <c r="G39" i="16"/>
  <c r="H39" i="16" s="1"/>
  <c r="G38" i="16"/>
  <c r="H38" i="16" s="1"/>
  <c r="G37" i="16"/>
  <c r="H37" i="16" s="1"/>
  <c r="G36" i="16"/>
  <c r="H36" i="16" s="1"/>
  <c r="G35" i="16"/>
  <c r="H35" i="16" s="1"/>
  <c r="G34" i="16"/>
  <c r="H34" i="16" s="1"/>
  <c r="G33" i="16"/>
  <c r="H33" i="16" s="1"/>
  <c r="G32" i="16"/>
  <c r="H32" i="16" s="1"/>
  <c r="G31" i="16"/>
  <c r="H31" i="16" s="1"/>
  <c r="G30" i="16"/>
  <c r="H30" i="16" s="1"/>
  <c r="G29" i="16"/>
  <c r="H29" i="16" s="1"/>
  <c r="G28" i="16"/>
  <c r="H28" i="16" s="1"/>
  <c r="G27" i="16"/>
  <c r="H27" i="16" s="1"/>
  <c r="G26" i="16"/>
  <c r="H26" i="16" s="1"/>
  <c r="G25" i="16"/>
  <c r="H25" i="16" s="1"/>
  <c r="G24" i="16"/>
  <c r="H24" i="16" s="1"/>
  <c r="G23" i="16"/>
  <c r="H23" i="16" s="1"/>
  <c r="G22" i="16"/>
  <c r="H22" i="16" s="1"/>
  <c r="G21" i="16"/>
  <c r="H21" i="16" s="1"/>
  <c r="G20" i="16"/>
  <c r="H20" i="16" s="1"/>
  <c r="G19" i="16"/>
  <c r="H19" i="16" s="1"/>
  <c r="G18" i="16"/>
  <c r="H18" i="16" s="1"/>
  <c r="G17" i="16"/>
  <c r="H17" i="16" s="1"/>
  <c r="G16" i="16"/>
  <c r="H16" i="16" s="1"/>
  <c r="G15" i="16"/>
  <c r="H15" i="16" s="1"/>
  <c r="G14" i="16"/>
  <c r="H14" i="16" s="1"/>
  <c r="G13" i="16"/>
  <c r="H13" i="16" s="1"/>
  <c r="G12" i="16"/>
  <c r="H12" i="16" s="1"/>
  <c r="G11" i="16"/>
  <c r="H11" i="16" s="1"/>
  <c r="G10" i="16"/>
  <c r="H10" i="16" s="1"/>
  <c r="G9" i="16"/>
  <c r="H9" i="16" s="1"/>
  <c r="G8" i="16"/>
  <c r="H8" i="16" s="1"/>
  <c r="G7" i="16"/>
  <c r="H7" i="16" s="1"/>
  <c r="G6" i="16"/>
  <c r="H6" i="16" s="1"/>
  <c r="G5" i="16"/>
  <c r="H5" i="16" s="1"/>
  <c r="G4" i="16"/>
  <c r="H4" i="16" s="1"/>
  <c r="G3" i="16"/>
  <c r="H3" i="16" s="1"/>
  <c r="G2" i="16"/>
  <c r="H2" i="16" s="1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2" i="15"/>
  <c r="G3" i="10"/>
  <c r="G4" i="10"/>
  <c r="G5" i="10"/>
  <c r="G6" i="10"/>
  <c r="G7" i="10"/>
  <c r="G8" i="10"/>
  <c r="G9" i="10"/>
  <c r="H9" i="10" s="1"/>
  <c r="G10" i="10"/>
  <c r="G11" i="10"/>
  <c r="G12" i="10"/>
  <c r="G13" i="10"/>
  <c r="H13" i="10" s="1"/>
  <c r="G14" i="10"/>
  <c r="G15" i="10"/>
  <c r="G16" i="10"/>
  <c r="G17" i="10"/>
  <c r="H17" i="10" s="1"/>
  <c r="G18" i="10"/>
  <c r="G19" i="10"/>
  <c r="G20" i="10"/>
  <c r="G21" i="10"/>
  <c r="G22" i="10"/>
  <c r="G23" i="10"/>
  <c r="H23" i="10" s="1"/>
  <c r="G24" i="10"/>
  <c r="H24" i="10" s="1"/>
  <c r="G25" i="10"/>
  <c r="H25" i="10" s="1"/>
  <c r="G26" i="10"/>
  <c r="G27" i="10"/>
  <c r="G28" i="10"/>
  <c r="H28" i="10" s="1"/>
  <c r="G29" i="10"/>
  <c r="H29" i="10" s="1"/>
  <c r="G30" i="10"/>
  <c r="G31" i="10"/>
  <c r="H31" i="10" s="1"/>
  <c r="G32" i="10"/>
  <c r="G33" i="10"/>
  <c r="H33" i="10" s="1"/>
  <c r="G34" i="10"/>
  <c r="G35" i="10"/>
  <c r="G36" i="10"/>
  <c r="H36" i="10" s="1"/>
  <c r="G37" i="10"/>
  <c r="H37" i="10" s="1"/>
  <c r="G2" i="10"/>
  <c r="H2" i="10" s="1"/>
  <c r="H4" i="10"/>
  <c r="H5" i="10"/>
  <c r="H6" i="10"/>
  <c r="H8" i="10"/>
  <c r="H10" i="10"/>
  <c r="H12" i="10"/>
  <c r="H14" i="10"/>
  <c r="H16" i="10"/>
  <c r="H18" i="10"/>
  <c r="H20" i="10"/>
  <c r="H21" i="10"/>
  <c r="H22" i="10"/>
  <c r="H26" i="10"/>
  <c r="H30" i="10"/>
  <c r="H32" i="10"/>
  <c r="H34" i="10"/>
  <c r="H35" i="10"/>
  <c r="H27" i="10"/>
  <c r="H19" i="10"/>
  <c r="H15" i="10"/>
  <c r="H11" i="10"/>
  <c r="H7" i="10"/>
  <c r="H3" i="10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51A442-294C-4DC4-BE16-2B9A701AD4B0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93877468-D393-4704-8108-FD05FAACD4D7}" keepAlive="1" name="Query - Append1 (2)" description="Connection to the 'Append1 (2)' query in the workbook." type="5" refreshedVersion="8" background="1" saveData="1">
    <dbPr connection="Provider=Microsoft.Mashup.OleDb.1;Data Source=$Workbook$;Location=&quot;Append1 (2)&quot;;Extended Properties=&quot;&quot;" command="SELECT * FROM [Append1 (2)]"/>
  </connection>
  <connection id="3" xr16:uid="{BD5868FD-DED7-4DBA-A27F-DA981EC75F4A}" keepAlive="1" name="Query - Append1 (3)" description="Connection to the 'Append1 (3)' query in the workbook." type="5" refreshedVersion="8" background="1" saveData="1">
    <dbPr connection="Provider=Microsoft.Mashup.OleDb.1;Data Source=$Workbook$;Location=&quot;Append1 (3)&quot;;Extended Properties=&quot;&quot;" command="SELECT * FROM [Append1 (3)]"/>
  </connection>
  <connection id="4" xr16:uid="{A210B6C6-6981-47EC-9CCF-3C403220CCA6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5" xr16:uid="{480DBC3C-DD6E-420D-9165-65ED27EF763F}" keepAlive="1" name="Query - Append2 (2)" description="Connection to the 'Append2 (2)' query in the workbook." type="5" refreshedVersion="8" background="1" saveData="1">
    <dbPr connection="Provider=Microsoft.Mashup.OleDb.1;Data Source=$Workbook$;Location=&quot;Append2 (2)&quot;;Extended Properties=&quot;&quot;" command="SELECT * FROM [Append2 (2)]"/>
  </connection>
  <connection id="6" xr16:uid="{FEE5175F-E0B7-4796-B7C2-501DFA43FEC0}" keepAlive="1" name="Query - Append3" description="Connection to the 'Append3' query in the workbook." type="5" refreshedVersion="8" background="1" saveData="1">
    <dbPr connection="Provider=Microsoft.Mashup.OleDb.1;Data Source=$Workbook$;Location=Append3;Extended Properties=&quot;&quot;" command="SELECT * FROM [Append3]"/>
  </connection>
  <connection id="7" xr16:uid="{B956C4F3-E814-4A7B-A6B2-D67E2296DAEA}" keepAlive="1" name="Query - Append3 (2)" description="Connection to the 'Append3 (2)' query in the workbook." type="5" refreshedVersion="8" background="1" saveData="1">
    <dbPr connection="Provider=Microsoft.Mashup.OleDb.1;Data Source=$Workbook$;Location=&quot;Append3 (2)&quot;;Extended Properties=&quot;&quot;" command="SELECT * FROM [Append3 (2)]"/>
  </connection>
  <connection id="8" xr16:uid="{B40152D2-0B16-40FD-87E2-88B6B3C396BB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  <connection id="9" xr16:uid="{3AD09A78-04B1-4ADE-9201-4ED9AEF44A21}" keepAlive="1" name="Query - Page002" description="Connection to the 'Page002' query in the workbook." type="5" refreshedVersion="0" background="1">
    <dbPr connection="Provider=Microsoft.Mashup.OleDb.1;Data Source=$Workbook$;Location=Page002;Extended Properties=&quot;&quot;" command="SELECT * FROM [Page002]"/>
  </connection>
  <connection id="10" xr16:uid="{7A38C144-663A-4A1B-9057-FD8FA8B7D284}" keepAlive="1" name="Query - Page003" description="Connection to the 'Page003' query in the workbook." type="5" refreshedVersion="0" background="1">
    <dbPr connection="Provider=Microsoft.Mashup.OleDb.1;Data Source=$Workbook$;Location=Page003;Extended Properties=&quot;&quot;" command="SELECT * FROM [Page003]"/>
  </connection>
  <connection id="11" xr16:uid="{D90E94E9-FC5E-47B4-9B29-FDD2B435A43B}" keepAlive="1" name="Query - Page004" description="Connection to the 'Page004' query in the workbook." type="5" refreshedVersion="0" background="1">
    <dbPr connection="Provider=Microsoft.Mashup.OleDb.1;Data Source=$Workbook$;Location=Page004;Extended Properties=&quot;&quot;" command="SELECT * FROM [Page004]"/>
  </connection>
  <connection id="12" xr16:uid="{36B3C5D5-4BF2-4590-965B-AB2B568F6D3F}" keepAlive="1" name="Query - Page005" description="Connection to the 'Page005' query in the workbook." type="5" refreshedVersion="0" background="1">
    <dbPr connection="Provider=Microsoft.Mashup.OleDb.1;Data Source=$Workbook$;Location=Page005;Extended Properties=&quot;&quot;" command="SELECT * FROM [Page005]"/>
  </connection>
  <connection id="13" xr16:uid="{1F71E329-52BC-4037-BE7B-CAD2A74DED70}" keepAlive="1" name="Query - Table004 (Page 1)" description="Connection to the 'Table004 (Page 1)' query in the workbook." type="5" refreshedVersion="8" background="1" saveData="1">
    <dbPr connection="Provider=Microsoft.Mashup.OleDb.1;Data Source=$Workbook$;Location=&quot;Table004 (Page 1)&quot;;Extended Properties=&quot;&quot;" command="SELECT * FROM [Table004 (Page 1)]"/>
  </connection>
  <connection id="14" xr16:uid="{1A484FB4-05D8-40CD-98F6-607DEA9FB817}" keepAlive="1" name="Query - Table004 (Page 1) (2)" description="Connection to the 'Table004 (Page 1) (2)' query in the workbook." type="5" refreshedVersion="0" background="1">
    <dbPr connection="Provider=Microsoft.Mashup.OleDb.1;Data Source=$Workbook$;Location=&quot;Table004 (Page 1) (2)&quot;;Extended Properties=&quot;&quot;" command="SELECT * FROM [Table004 (Page 1) (2)]"/>
  </connection>
  <connection id="15" xr16:uid="{7016D87B-3944-4C31-9468-AEA5F81A117A}" keepAlive="1" name="Query - Table004 (Page 1) (3)" description="Connection to the 'Table004 (Page 1) (3)' query in the workbook." type="5" refreshedVersion="0" background="1">
    <dbPr connection="Provider=Microsoft.Mashup.OleDb.1;Data Source=$Workbook$;Location=&quot;Table004 (Page 1) (3)&quot;;Extended Properties=&quot;&quot;" command="SELECT * FROM [Table004 (Page 1) (3)]"/>
  </connection>
  <connection id="16" xr16:uid="{9DA1B18F-C2B5-4ECC-9AD1-CF90BC1157ED}" keepAlive="1" name="Query - Table006 (Page 2)" description="Connection to the 'Table006 (Page 2)' query in the workbook." type="5" refreshedVersion="0" background="1">
    <dbPr connection="Provider=Microsoft.Mashup.OleDb.1;Data Source=$Workbook$;Location=&quot;Table006 (Page 2)&quot;;Extended Properties=&quot;&quot;" command="SELECT * FROM [Table006 (Page 2)]"/>
  </connection>
  <connection id="17" xr16:uid="{40DD7439-AD37-4132-87EE-40E03C145D97}" keepAlive="1" name="Query - Table006 (Page 2) (2)" description="Connection to the 'Table006 (Page 2) (2)' query in the workbook." type="5" refreshedVersion="8" background="1" saveData="1">
    <dbPr connection="Provider=Microsoft.Mashup.OleDb.1;Data Source=$Workbook$;Location=&quot;Table006 (Page 2) (2)&quot;;Extended Properties=&quot;&quot;" command="SELECT * FROM [Table006 (Page 2) (2)]"/>
  </connection>
  <connection id="18" xr16:uid="{DFC24CAF-04E4-4945-85B2-0D2DE7C7E228}" keepAlive="1" name="Query - Table006 (Page 2) (3)" description="Connection to the 'Table006 (Page 2) (3)' query in the workbook." type="5" refreshedVersion="0" background="1">
    <dbPr connection="Provider=Microsoft.Mashup.OleDb.1;Data Source=$Workbook$;Location=&quot;Table006 (Page 2) (3)&quot;;Extended Properties=&quot;&quot;" command="SELECT * FROM [Table006 (Page 2) (3)]"/>
  </connection>
  <connection id="19" xr16:uid="{1964B153-DDD8-4A84-BFF1-FBEA0EAEAAE6}" keepAlive="1" name="Query - Table008 (Page 3)" description="Connection to the 'Table008 (Page 3)' query in the workbook." type="5" refreshedVersion="8" background="1" saveData="1">
    <dbPr connection="Provider=Microsoft.Mashup.OleDb.1;Data Source=$Workbook$;Location=&quot;Table008 (Page 3)&quot;;Extended Properties=&quot;&quot;" command="SELECT * FROM [Table008 (Page 3)]"/>
  </connection>
  <connection id="20" xr16:uid="{8108DABF-F076-40AB-BB8F-97E3D1C27083}" keepAlive="1" name="Query - Table008 (Page 3) (2)" description="Connection to the 'Table008 (Page 3) (2)' query in the workbook." type="5" refreshedVersion="8" background="1" saveData="1">
    <dbPr connection="Provider=Microsoft.Mashup.OleDb.1;Data Source=$Workbook$;Location=&quot;Table008 (Page 3) (2)&quot;;Extended Properties=&quot;&quot;" command="SELECT * FROM [Table008 (Page 3) (2)]"/>
  </connection>
  <connection id="21" xr16:uid="{0B9B5464-422F-4D07-9234-D3BFFECA2124}" keepAlive="1" name="Query - Table010 (Page 4)" description="Connection to the 'Table010 (Page 4)' query in the workbook." type="5" refreshedVersion="8" background="1" saveData="1">
    <dbPr connection="Provider=Microsoft.Mashup.OleDb.1;Data Source=$Workbook$;Location=&quot;Table010 (Page 4)&quot;;Extended Properties=&quot;&quot;" command="SELECT * FROM [Table010 (Page 4)]"/>
  </connection>
</connections>
</file>

<file path=xl/sharedStrings.xml><?xml version="1.0" encoding="utf-8"?>
<sst xmlns="http://schemas.openxmlformats.org/spreadsheetml/2006/main" count="1609" uniqueCount="232">
  <si>
    <t>.</t>
  </si>
  <si>
    <t>Description</t>
  </si>
  <si>
    <t>Type</t>
  </si>
  <si>
    <t>16 Jun 25.</t>
  </si>
  <si>
    <t>LEMFI</t>
  </si>
  <si>
    <t>16 Jun 25</t>
  </si>
  <si>
    <t>OPEYEMI OBAMAKINWA</t>
  </si>
  <si>
    <t>FPO</t>
  </si>
  <si>
    <t>20.00 .</t>
  </si>
  <si>
    <t>718.37 .</t>
  </si>
  <si>
    <t>CHIOMA NNADI</t>
  </si>
  <si>
    <t>5.00 .</t>
  </si>
  <si>
    <t>713.37 .</t>
  </si>
  <si>
    <t>NEW SEASON CASH &amp;</t>
  </si>
  <si>
    <t>DEB</t>
  </si>
  <si>
    <t>7.48 .</t>
  </si>
  <si>
    <t>705.89 .</t>
  </si>
  <si>
    <t>KENT CASH AND CARR</t>
  </si>
  <si>
    <t>8.09 .</t>
  </si>
  <si>
    <t>697.80 .</t>
  </si>
  <si>
    <t>H3G</t>
  </si>
  <si>
    <t>DD</t>
  </si>
  <si>
    <t>23.99 .</t>
  </si>
  <si>
    <t>673.81 .</t>
  </si>
  <si>
    <t>ME2 Local Food and.</t>
  </si>
  <si>
    <t>DEB.</t>
  </si>
  <si>
    <t>1.25.</t>
  </si>
  <si>
    <t>672.56.</t>
  </si>
  <si>
    <t>19 Jun 25</t>
  </si>
  <si>
    <t>ARRIVA KENT AND SU</t>
  </si>
  <si>
    <t>3.00 .</t>
  </si>
  <si>
    <t>669.56 .</t>
  </si>
  <si>
    <t>666.56 .</t>
  </si>
  <si>
    <t>20 Jun 25</t>
  </si>
  <si>
    <t>UPRISE LIVING PROP</t>
  </si>
  <si>
    <t>500.00 .</t>
  </si>
  <si>
    <t>166.56 .</t>
  </si>
  <si>
    <t>POUNDLAND LTD - 10</t>
  </si>
  <si>
    <t>1.75 .</t>
  </si>
  <si>
    <t>164.81 .</t>
  </si>
  <si>
    <t>23 Jun 25</t>
  </si>
  <si>
    <t>49.42 .</t>
  </si>
  <si>
    <t>115.39 .</t>
  </si>
  <si>
    <t>26 Jun 25.</t>
  </si>
  <si>
    <t>BUSAYO SAMUEL.</t>
  </si>
  <si>
    <t>FPO.</t>
  </si>
  <si>
    <t>40.00.</t>
  </si>
  <si>
    <t>75.39.</t>
  </si>
  <si>
    <t>26 Jun 25</t>
  </si>
  <si>
    <t>Nisa Extra</t>
  </si>
  <si>
    <t>6.39 .</t>
  </si>
  <si>
    <t>69.00 .</t>
  </si>
  <si>
    <t>B&amp;M RETAIL LTD</t>
  </si>
  <si>
    <t>21.98 .</t>
  </si>
  <si>
    <t>47.02 .</t>
  </si>
  <si>
    <t>30 Jun 25</t>
  </si>
  <si>
    <t>44.02 .</t>
  </si>
  <si>
    <t>41.02 .</t>
  </si>
  <si>
    <t>Zettle_*MC PERSONN</t>
  </si>
  <si>
    <t>6.50 .</t>
  </si>
  <si>
    <t>34.52 .</t>
  </si>
  <si>
    <t>30 Jun 25.</t>
  </si>
  <si>
    <t>Mooboo Bubble Tea.</t>
  </si>
  <si>
    <t>6.00.</t>
  </si>
  <si>
    <t>28.52.</t>
  </si>
  <si>
    <t>8.98 .</t>
  </si>
  <si>
    <t>19.54 .</t>
  </si>
  <si>
    <t>02 Jun 25</t>
  </si>
  <si>
    <t>FPI</t>
  </si>
  <si>
    <t>30.00 .</t>
  </si>
  <si>
    <t>30.87 .</t>
  </si>
  <si>
    <t>INFORMATION RESOUR</t>
  </si>
  <si>
    <t>BGC</t>
  </si>
  <si>
    <t>33.87 .</t>
  </si>
  <si>
    <t>5.70 .</t>
  </si>
  <si>
    <t>39.57 .</t>
  </si>
  <si>
    <t>6.00 .</t>
  </si>
  <si>
    <t>45.57 .</t>
  </si>
  <si>
    <t>06 Jun 25</t>
  </si>
  <si>
    <t>KINGDOM PEOPLE LIM</t>
  </si>
  <si>
    <t>233.37 .</t>
  </si>
  <si>
    <t>278.94 .</t>
  </si>
  <si>
    <t>09 Jun 25.</t>
  </si>
  <si>
    <t>B&amp;M RETAIL LTD.</t>
  </si>
  <si>
    <t>7.00.</t>
  </si>
  <si>
    <t>271.94.</t>
  </si>
  <si>
    <t>09 Jun 25</t>
  </si>
  <si>
    <t>POUNDLAND LTD - 19</t>
  </si>
  <si>
    <t>7.00 .</t>
  </si>
  <si>
    <t>264.94 .</t>
  </si>
  <si>
    <t>DAILY CATCH FISHMO</t>
  </si>
  <si>
    <t>8.00 .</t>
  </si>
  <si>
    <t>256.94 .</t>
  </si>
  <si>
    <t>9.67 .</t>
  </si>
  <si>
    <t>247.27 .</t>
  </si>
  <si>
    <t>32.67 .</t>
  </si>
  <si>
    <t>214.60 .</t>
  </si>
  <si>
    <t>ALDI STORES LTD</t>
  </si>
  <si>
    <t>16.70 .</t>
  </si>
  <si>
    <t>197.90 .</t>
  </si>
  <si>
    <t>ARRIVA KENT AND SU.</t>
  </si>
  <si>
    <t>3.00.</t>
  </si>
  <si>
    <t>194.90.</t>
  </si>
  <si>
    <t>10 Jun 25</t>
  </si>
  <si>
    <t>200.90 .</t>
  </si>
  <si>
    <t>13 Jun 25</t>
  </si>
  <si>
    <t>117.41 .</t>
  </si>
  <si>
    <t>318.31 .</t>
  </si>
  <si>
    <t>304844554RETAIL A</t>
  </si>
  <si>
    <t>420.06 .</t>
  </si>
  <si>
    <t>738.37 .</t>
  </si>
  <si>
    <t>TransactionDate</t>
  </si>
  <si>
    <t>CIRCANA UK LTD</t>
  </si>
  <si>
    <t>AmountIn</t>
  </si>
  <si>
    <t>AmountOut</t>
  </si>
  <si>
    <t>FP</t>
  </si>
  <si>
    <t>Balance</t>
  </si>
  <si>
    <t>Category</t>
  </si>
  <si>
    <t>SubCategory</t>
  </si>
  <si>
    <t>OO</t>
  </si>
  <si>
    <t>CN</t>
  </si>
  <si>
    <t>BS</t>
  </si>
  <si>
    <t>CUL</t>
  </si>
  <si>
    <t>IR</t>
  </si>
  <si>
    <t>KP</t>
  </si>
  <si>
    <t>ULP</t>
  </si>
  <si>
    <t>RETAIL A</t>
  </si>
  <si>
    <t>03 Jul 25</t>
  </si>
  <si>
    <t>04 Jul 25</t>
  </si>
  <si>
    <t>04 Jul 25.</t>
  </si>
  <si>
    <t>07 Jul 25</t>
  </si>
  <si>
    <t>CANCER RESEARCH UK</t>
  </si>
  <si>
    <t>SAVERS HEALTH &amp; BE</t>
  </si>
  <si>
    <t>07 Jul 25.</t>
  </si>
  <si>
    <t>08 Jul 25</t>
  </si>
  <si>
    <t>ISTANBUL FLAMES</t>
  </si>
  <si>
    <t>09 Jul 25</t>
  </si>
  <si>
    <t>10 Jul 25.</t>
  </si>
  <si>
    <t>11 Jul 25</t>
  </si>
  <si>
    <t>14 Jul 25</t>
  </si>
  <si>
    <t>14 Jul 25.</t>
  </si>
  <si>
    <t>15 Jul 25</t>
  </si>
  <si>
    <t>16 Jul 25</t>
  </si>
  <si>
    <t>17 Jul 25</t>
  </si>
  <si>
    <t>17 Jul 25.</t>
  </si>
  <si>
    <t>TIKTOK SHOP SELLER</t>
  </si>
  <si>
    <t>18 Jul 25</t>
  </si>
  <si>
    <t>21 Jul 25</t>
  </si>
  <si>
    <t>Ego Shoes</t>
  </si>
  <si>
    <t>21 Jul 25.</t>
  </si>
  <si>
    <t>ZARA BLUEWATER</t>
  </si>
  <si>
    <t>MARKS&amp;SPENCER PLC</t>
  </si>
  <si>
    <t>NEW SEASON CASH &amp;.</t>
  </si>
  <si>
    <t>22 Jul 25</t>
  </si>
  <si>
    <t>22 Jul 25.</t>
  </si>
  <si>
    <t>24 Jul 25</t>
  </si>
  <si>
    <t>PRIMARK 444</t>
  </si>
  <si>
    <t>ENSIGN BUS COMPANY</t>
  </si>
  <si>
    <t>24 Jul 25.</t>
  </si>
  <si>
    <t>25 Jul 25</t>
  </si>
  <si>
    <t>28 Jul 25.</t>
  </si>
  <si>
    <t>28 Jul 25</t>
  </si>
  <si>
    <t>ICELAND</t>
  </si>
  <si>
    <t>APPLE.COM/BILL</t>
  </si>
  <si>
    <t>29 Jul 25.</t>
  </si>
  <si>
    <t>SAVERS HEALTH &amp; BE.</t>
  </si>
  <si>
    <t>29 Jul 25</t>
  </si>
  <si>
    <t>BOOTS 0882</t>
  </si>
  <si>
    <t>31 Jul 25</t>
  </si>
  <si>
    <t>Zettle</t>
  </si>
  <si>
    <t>EO</t>
  </si>
  <si>
    <t>TA</t>
  </si>
  <si>
    <t>FBI</t>
  </si>
  <si>
    <t>LONDON CASH CARRY</t>
  </si>
  <si>
    <t>01 Aug 25</t>
  </si>
  <si>
    <t>04 Aug 25</t>
  </si>
  <si>
    <t>04 Aug 25.</t>
  </si>
  <si>
    <t>RICHMOND MINI MART</t>
  </si>
  <si>
    <t>05 Aug 25</t>
  </si>
  <si>
    <t>NYA*2468 Ltd (UK)</t>
  </si>
  <si>
    <t>05 Aug 25.</t>
  </si>
  <si>
    <t>06 Aug 25</t>
  </si>
  <si>
    <t>07 Aug 25</t>
  </si>
  <si>
    <t>08 Aug 25.</t>
  </si>
  <si>
    <t>08 Aug 25</t>
  </si>
  <si>
    <t>Eunistar Afro Cari</t>
  </si>
  <si>
    <t>11 Aug 25</t>
  </si>
  <si>
    <t>11 Aug 25.</t>
  </si>
  <si>
    <t>UZUM SUPERMARKET.</t>
  </si>
  <si>
    <t>NEW LOOK - CHATHAM</t>
  </si>
  <si>
    <t>PRIMARK</t>
  </si>
  <si>
    <t>12 Aug 25</t>
  </si>
  <si>
    <t>13 Aug 25.</t>
  </si>
  <si>
    <t>14 Aug 25</t>
  </si>
  <si>
    <t>15 Aug 25</t>
  </si>
  <si>
    <t>UBR* PENDING.UBER.</t>
  </si>
  <si>
    <t>18 Aug 25.</t>
  </si>
  <si>
    <t>ALDI STORES LTD.</t>
  </si>
  <si>
    <t>18 Aug 25</t>
  </si>
  <si>
    <t>DVLA DRIVER ONLINE</t>
  </si>
  <si>
    <t>T K MAXX</t>
  </si>
  <si>
    <t>19 Aug 25</t>
  </si>
  <si>
    <t>20 Aug 25</t>
  </si>
  <si>
    <t>20 Aug 25.</t>
  </si>
  <si>
    <t>21 Aug 25</t>
  </si>
  <si>
    <t>MA</t>
  </si>
  <si>
    <t>Personal</t>
  </si>
  <si>
    <t>Transport</t>
  </si>
  <si>
    <t>Groceries</t>
  </si>
  <si>
    <t>Essentials</t>
  </si>
  <si>
    <t>Income</t>
  </si>
  <si>
    <t>MO</t>
  </si>
  <si>
    <t>Utilities</t>
  </si>
  <si>
    <t>Rent</t>
  </si>
  <si>
    <t>UZUM SUPERMARKET</t>
  </si>
  <si>
    <t>UBR* PENDING.UBER</t>
  </si>
  <si>
    <t>ME2 Local Food and</t>
  </si>
  <si>
    <t>Mooboo Bubble Tea</t>
  </si>
  <si>
    <t>Month</t>
  </si>
  <si>
    <t>June</t>
  </si>
  <si>
    <t>July</t>
  </si>
  <si>
    <t>August</t>
  </si>
  <si>
    <t>Friends &amp; Family</t>
  </si>
  <si>
    <t>Fare / Travel</t>
  </si>
  <si>
    <t>Salary / Reimbursement</t>
  </si>
  <si>
    <t>Shopping</t>
  </si>
  <si>
    <t>Exchange</t>
  </si>
  <si>
    <t>Mobile / Data</t>
  </si>
  <si>
    <t>SubCategoryName</t>
  </si>
  <si>
    <t>CategoryName</t>
  </si>
  <si>
    <t>SubcatName</t>
  </si>
  <si>
    <t>TransDate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</si>
</sst>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7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64" formatCode="yyyy\-mm\-dd;@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91D009A-8A69-44A8-9980-681F1FFEB04A}" autoFormatId="16" applyNumberFormats="0" applyBorderFormats="0" applyFontFormats="0" applyPatternFormats="0" applyAlignmentFormats="0" applyWidthHeightFormats="0">
  <queryTableRefresh nextId="23" unboundColumnsRight="2">
    <queryTableFields count="8">
      <queryTableField id="1" name="Column1" tableColumnId="1"/>
      <queryTableField id="3" name="Column3" tableColumnId="3"/>
      <queryTableField id="13" name="Column13" tableColumnId="13"/>
      <queryTableField id="17" name="Column17" tableColumnId="17"/>
      <queryTableField id="18" name="Column18" tableColumnId="18"/>
      <queryTableField id="19" name="Column19" tableColumnId="19"/>
      <queryTableField id="21" dataBound="0" tableColumnId="21"/>
      <queryTableField id="22" dataBound="0" tableColumnId="22"/>
    </queryTableFields>
    <queryTableDeletedFields count="14">
      <deletedField name="Column2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4"/>
      <deletedField name="Column15"/>
      <deletedField name="Column16"/>
      <deletedField name="Column20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324E127-0D0E-4F7B-98FC-AC8C4F01BDD9}" autoFormatId="16" applyNumberFormats="0" applyBorderFormats="0" applyFontFormats="0" applyPatternFormats="0" applyAlignmentFormats="0" applyWidthHeightFormats="0">
  <queryTableRefresh nextId="26" unboundColumnsRight="2">
    <queryTableFields count="8">
      <queryTableField id="1" name="Column1" tableColumnId="1"/>
      <queryTableField id="3" name="Column3" tableColumnId="3"/>
      <queryTableField id="13" name="Column13" tableColumnId="13"/>
      <queryTableField id="17" name="Column17" tableColumnId="17"/>
      <queryTableField id="18" name="Column18" tableColumnId="18"/>
      <queryTableField id="19" name="Column19" tableColumnId="19"/>
      <queryTableField id="21" dataBound="0" tableColumnId="21"/>
      <queryTableField id="22" dataBound="0" tableColumnId="22"/>
    </queryTableFields>
    <queryTableDeletedFields count="14">
      <deletedField name="Column2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4"/>
      <deletedField name="Column15"/>
      <deletedField name="Column16"/>
      <deletedField name="Column20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35978EB5-582F-440D-B363-B76D081BACCC}" autoFormatId="16" applyNumberFormats="0" applyBorderFormats="0" applyFontFormats="0" applyPatternFormats="0" applyAlignmentFormats="0" applyWidthHeightFormats="0">
  <queryTableRefresh nextId="29">
    <queryTableFields count="8">
      <queryTableField id="1" name="Column1" tableColumnId="1"/>
      <queryTableField id="3" name="Column3" tableColumnId="3"/>
      <queryTableField id="12" name="Column12" tableColumnId="12"/>
      <queryTableField id="13" name="Column13" tableColumnId="13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</queryTableFields>
    <queryTableDeletedFields count="20">
      <deletedField name="Column2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7"/>
      <deletedField name="Column16"/>
      <deletedField name="Column15"/>
      <deletedField name="Column14"/>
      <deletedField name="Column22"/>
      <deletedField name="Column23"/>
      <deletedField name="Column24"/>
      <deletedField name="Column25"/>
      <deletedField name="Column26"/>
      <deletedField name="Column27"/>
      <deletedField name="Column28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AD4E326E-8222-47FE-9336-6E8D9A2ED8BE}" autoFormatId="16" applyNumberFormats="0" applyBorderFormats="0" applyFontFormats="0" applyPatternFormats="0" applyAlignmentFormats="0" applyWidthHeightFormats="0">
  <queryTableRefresh nextId="29">
    <queryTableFields count="8">
      <queryTableField id="1" name="Column1" tableColumnId="1"/>
      <queryTableField id="3" name="Column3" tableColumnId="3"/>
      <queryTableField id="12" name="Column12" tableColumnId="12"/>
      <queryTableField id="13" name="Column13" tableColumnId="13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</queryTableFields>
    <queryTableDeletedFields count="20">
      <deletedField name="Column2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7"/>
      <deletedField name="Column16"/>
      <deletedField name="Column15"/>
      <deletedField name="Column14"/>
      <deletedField name="Column22"/>
      <deletedField name="Column23"/>
      <deletedField name="Column24"/>
      <deletedField name="Column25"/>
      <deletedField name="Column26"/>
      <deletedField name="Column27"/>
      <deletedField name="Column28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A7A86116-CF01-43EB-9E4D-19995E63BFDA}" autoFormatId="16" applyNumberFormats="0" applyBorderFormats="0" applyFontFormats="0" applyPatternFormats="0" applyAlignmentFormats="0" applyWidthHeightFormats="0">
  <queryTableRefresh nextId="28" unboundColumnsRight="1">
    <queryTableFields count="8">
      <queryTableField id="1" name="Column1" tableColumnId="1"/>
      <queryTableField id="3" name="Column3" tableColumnId="3"/>
      <queryTableField id="4" name="Column4" tableColumnId="4"/>
      <queryTableField id="24" dataBound="0" tableColumnId="24"/>
      <queryTableField id="25" dataBound="0" tableColumnId="25"/>
      <queryTableField id="26" dataBound="0" tableColumnId="26"/>
      <queryTableField id="5" name="Column5" tableColumnId="5"/>
      <queryTableField id="27" dataBound="0" tableColumnId="27"/>
    </queryTableFields>
    <queryTableDeletedFields count="19">
      <deletedField name="Column2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142E0086-0389-4E7A-9AE3-EF1874762DD6}" autoFormatId="16" applyNumberFormats="0" applyBorderFormats="0" applyFontFormats="0" applyPatternFormats="0" applyAlignmentFormats="0" applyWidthHeightFormats="0">
  <queryTableRefresh nextId="28" unboundColumnsRight="1">
    <queryTableFields count="8">
      <queryTableField id="1" name="Column1" tableColumnId="1"/>
      <queryTableField id="3" name="Column3" tableColumnId="3"/>
      <queryTableField id="4" name="Column4" tableColumnId="4"/>
      <queryTableField id="24" dataBound="0" tableColumnId="24"/>
      <queryTableField id="25" dataBound="0" tableColumnId="25"/>
      <queryTableField id="26" dataBound="0" tableColumnId="26"/>
      <queryTableField id="5" name="Column5" tableColumnId="5"/>
      <queryTableField id="27" dataBound="0" tableColumnId="27"/>
    </queryTableFields>
    <queryTableDeletedFields count="19">
      <deletedField name="Column2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4B51462-0225-4C77-BD91-9493B5F6838A}" autoFormatId="16" applyNumberFormats="0" applyBorderFormats="0" applyFontFormats="0" applyPatternFormats="0" applyAlignmentFormats="0" applyWidthHeightFormats="0">
  <queryTableRefresh nextId="27" unboundColumnsRight="2">
    <queryTableFields count="9">
      <queryTableField id="1" name="Column1" tableColumnId="1"/>
      <queryTableField id="26" dataBound="0" tableColumnId="26"/>
      <queryTableField id="3" name="Column3" tableColumnId="3"/>
      <queryTableField id="13" name="Column13" tableColumnId="13"/>
      <queryTableField id="17" name="Column17" tableColumnId="17"/>
      <queryTableField id="18" name="Column18" tableColumnId="18"/>
      <queryTableField id="19" name="Column19" tableColumnId="19"/>
      <queryTableField id="21" dataBound="0" tableColumnId="21"/>
      <queryTableField id="22" dataBound="0" tableColumnId="22"/>
    </queryTableFields>
    <queryTableDeletedFields count="14">
      <deletedField name="Column2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4"/>
      <deletedField name="Column15"/>
      <deletedField name="Column16"/>
      <deletedField name="Column2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729E7F-F980-4BD9-8AA1-F05D392F2C65}" name="Append1" displayName="Append1" ref="A1:H37" tableType="queryTable" totalsRowShown="0">
  <autoFilter ref="A1:H37" xr:uid="{9B729E7F-F980-4BD9-8AA1-F05D392F2C65}"/>
  <tableColumns count="8">
    <tableColumn id="1" xr3:uid="{F92A322C-5FD8-4D7D-B357-2C24F936DB6D}" uniqueName="1" name="TransactionDate" queryTableFieldId="1" dataDxfId="56"/>
    <tableColumn id="3" xr3:uid="{BBFC2A52-FC48-42C1-8D5B-467790D86156}" uniqueName="3" name="Description" queryTableFieldId="3" dataDxfId="55"/>
    <tableColumn id="13" xr3:uid="{BEB98139-6A71-4BDA-9FAF-5006DAE0D62F}" uniqueName="13" name="Type" queryTableFieldId="13" dataDxfId="54"/>
    <tableColumn id="17" xr3:uid="{C54EB434-0FDB-4B08-94F5-71DFFE74EF3E}" uniqueName="17" name="AmountIn" queryTableFieldId="17" dataDxfId="53"/>
    <tableColumn id="18" xr3:uid="{F5A0FD75-1D4D-4E63-B646-1E9F28A6A8DB}" uniqueName="18" name="AmountOut" queryTableFieldId="18" dataDxfId="52"/>
    <tableColumn id="19" xr3:uid="{D566260B-B6B1-4DF6-895A-3E7FBE614809}" uniqueName="19" name="Balance" queryTableFieldId="19" dataDxfId="51"/>
    <tableColumn id="21" xr3:uid="{97ECCABE-BC72-49B1-975D-91E94F24D473}" uniqueName="21" name="Category" queryTableFieldId="21" dataDxfId="50">
      <calculatedColumnFormula>IF(ISNUMBER(SEARCH("INFORMATION RESOUR",B2)),"Transport",
IF(ISNUMBER(SEARCH("ARRIVA",B2)),"Transport",
IF(ISNUMBER(SEARCH("Zettle",B2)),"Transport",
IF(ISNUMBER(SEARCH("UPRISE",B2)),"Rent/Utilities",
IF(OR(ISNUMBER(SEARCH("NEW SEASON CASH",B2)),ISNUMBER(SEARCH("ALDI",B2)),ISNUMBER(SEARCH("B&amp;M",B2)),ISNUMBER(SEARCH("POUNDLAND",B2)),ISNUMBER(SEARCH("DAILY CATCH",B2)),ISNUMBER(SEARCH("ME2",B2)),ISNUMBER(SEARCH("Nisa",B2)),ISNUMBER(SEARCH("KENT CASH AND CARR",B2))),"Groceries",
IF(OR(ISNUMBER(SEARCH("KINGDOM PEOPLE",B2)),ISNUMBER(SEARCH("CIRCANA",B2)),ISNUMBER(SEARCH("RETAIL A",B2))),"Income",
IF(OR(ISNUMBER(SEARCH("CHIOMA NNADI",B2)),ISNUMBER(SEARCH("OPEYEMI OBAMAKINWA",B2)),ISNUMBER(SEARCH("BUSAYO SAMUEL",B2))),"Personal",
IF(ISNUMBER(SEARCH("LEMFI",B2)),"Personal",
IF(ISNUMBER(SEARCH("H3G",B2)),"Utilities",
IF(ISNUMBER(SEARCH("MOOBOO",B2)),"Entertainment","Other"))))))))))</calculatedColumnFormula>
    </tableColumn>
    <tableColumn id="22" xr3:uid="{E52BAE28-4168-4B08-BD9E-BA6EFFDDF01E}" uniqueName="22" name="SubCategory" queryTableFieldId="22" dataDxfId="49">
      <calculatedColumnFormula>IF(G2="Transport","Fare / Travel",
IF(G2="Rent/Utilities","Rent",
IF(G2="Groceries","Shopping",
IF(G2="Income","Salary / Reimbursement",
IF(G2="Personal",
IF(OR(ISNUMBER(SEARCH("LEMFI",B2)),"Exchange"),"Exchange","Friends &amp; Family"),
IF(G2="Utilities","Mobile / Data",
IF(G2="Entertainment","Fun / Treats","Other")))))))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1F640E-3D47-4966-B9BF-7CB5F85222F9}" name="Append15" displayName="Append15" ref="A1:H37" tableType="queryTable" totalsRowShown="0">
  <autoFilter ref="A1:H37" xr:uid="{9B729E7F-F980-4BD9-8AA1-F05D392F2C65}"/>
  <tableColumns count="8">
    <tableColumn id="1" xr3:uid="{5B2A23F3-1354-4F49-8CD6-706905335613}" uniqueName="1" name="TransactionDate" queryTableFieldId="1" dataDxfId="48"/>
    <tableColumn id="3" xr3:uid="{8EF8F9C6-E4D5-4283-AB19-0685AC5B9249}" uniqueName="3" name="Description" queryTableFieldId="3" dataDxfId="47"/>
    <tableColumn id="13" xr3:uid="{6327E514-2C6E-4C0E-985C-3C5566CAB56B}" uniqueName="13" name="Type" queryTableFieldId="13" dataDxfId="46"/>
    <tableColumn id="17" xr3:uid="{08816BAC-2938-4727-B156-4B9C4FEA3B53}" uniqueName="17" name="AmountIn" queryTableFieldId="17" dataDxfId="45"/>
    <tableColumn id="18" xr3:uid="{F80BBE18-64C4-42B6-93D3-2E7D5FE63062}" uniqueName="18" name="AmountOut" queryTableFieldId="18" dataDxfId="44"/>
    <tableColumn id="19" xr3:uid="{1B307137-62A9-417F-88D0-05A0CD446AF8}" uniqueName="19" name="Balance" queryTableFieldId="19" dataDxfId="43"/>
    <tableColumn id="21" xr3:uid="{439AADF2-581C-4905-B209-ABA0622B6831}" uniqueName="21" name="Category" queryTableFieldId="21" dataDxfId="42">
      <calculatedColumnFormula>IF(ISNUMBER(SEARCH("IR",B2)),"Transport",
IF(ISNUMBER(SEARCH("ARRIVA",B2)),"Transport",
IF(ISNUMBER(SEARCH("Zettle",B2)),"Transport",
IF(ISNUMBER(SEARCH("ULP",B2)),"Rent/Utilities",
IF(OR(ISNUMBER(SEARCH("NEW SEASON CASH",B2)),ISNUMBER(SEARCH("ALDI",B2)),ISNUMBER(SEARCH("B&amp;M",B2)),ISNUMBER(SEARCH("POUNDLAND",B2)),ISNUMBER(SEARCH("DAILY CATCH",B2)),ISNUMBER(SEARCH("ME2",B2)),ISNUMBER(SEARCH("Nisa",B2)),ISNUMBER(SEARCH("KENT CASH AND CARR",B2))),"Groceries",
IF(OR(ISNUMBER(SEARCH("KP",B2)),ISNUMBER(SEARCH("CUL",B2)),ISNUMBER(SEARCH("RETAIL A",B2))),"Income",
IF(OR(ISNUMBER(SEARCH("CN",B2)),ISNUMBER(SEARCH("OO",B2)),ISNUMBER(SEARCH("BS",B2))),"Personal",
IF(ISNUMBER(SEARCH("LEMFI",B2)),"Personal",
IF(ISNUMBER(SEARCH("H3G",B2)),"Utilities",
IF(ISNUMBER(SEARCH("MOOBOO",B2)),"Entertainment","Other"))))))))))</calculatedColumnFormula>
    </tableColumn>
    <tableColumn id="22" xr3:uid="{DD60016A-75AB-41DD-BA96-BECBC1708FC9}" uniqueName="22" name="SubCategory" queryTableFieldId="22" dataDxfId="41">
      <calculatedColumnFormula>IF(G2="Transport","Fare / Travel",
IF(G2="Rent/Utilities","Rent",
IF(G2="Groceries","Shopping",
IF(G2="Income","Salary / Reimbursement",
IF(G2="Personal",
IF(OR(ISNUMBER(SEARCH("LEMFI",B2)),"Exchange"),"Exchange","Friends &amp; Family"),
IF(G2="Utilities","Mobile / Data",
IF(G2="Entertainment","Fun / Treats","Other")))))))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A23D20-C552-4E31-B94A-E33B1C6EF6A9}" name="Append2" displayName="Append2" ref="A1:H64" tableType="queryTable" totalsRowShown="0">
  <autoFilter ref="A1:H64" xr:uid="{7DA23D20-C552-4E31-B94A-E33B1C6EF6A9}"/>
  <tableColumns count="8">
    <tableColumn id="1" xr3:uid="{C08FED24-793D-4387-96FC-394E04A610EE}" uniqueName="1" name="TransactionDate" queryTableFieldId="1" dataDxfId="40"/>
    <tableColumn id="3" xr3:uid="{8C38D1B8-5666-4C72-860D-F890A9994565}" uniqueName="3" name="Description" queryTableFieldId="3" dataDxfId="39"/>
    <tableColumn id="12" xr3:uid="{7E0C8958-688C-406B-94FB-EF65AED580AC}" uniqueName="12" name="Type" queryTableFieldId="12" dataDxfId="38"/>
    <tableColumn id="13" xr3:uid="{A2D95B74-8C4E-45FF-A026-902CF3BD68BC}" uniqueName="13" name="AmountIn" queryTableFieldId="13" dataDxfId="37"/>
    <tableColumn id="18" xr3:uid="{3AC4EA2F-0A47-44A7-8049-FE9E0E8D4B9C}" uniqueName="18" name="AmountOut" queryTableFieldId="18" dataDxfId="36"/>
    <tableColumn id="19" xr3:uid="{950B2247-373D-4657-997E-3B001308E7F0}" uniqueName="19" name="Balance" queryTableFieldId="19" dataDxfId="35"/>
    <tableColumn id="20" xr3:uid="{5664C88F-78EE-45EB-8F1F-28561D4FF43D}" uniqueName="20" name="Category" queryTableFieldId="20" dataDxfId="34"/>
    <tableColumn id="21" xr3:uid="{69CFB219-9A3E-474B-9824-CCA4D3964E47}" uniqueName="21" name="SubCategory" queryTableFieldId="21" dataDxfId="3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78E508E-9391-45DB-9B8D-C3C54DCCBAE2}" name="Append211" displayName="Append211" ref="A1:H64" tableType="queryTable" totalsRowShown="0">
  <autoFilter ref="A1:H64" xr:uid="{7DA23D20-C552-4E31-B94A-E33B1C6EF6A9}"/>
  <tableColumns count="8">
    <tableColumn id="1" xr3:uid="{98E1A891-F0DD-4F10-8C07-792962C80D32}" uniqueName="1" name="TransactionDate" queryTableFieldId="1" dataDxfId="32"/>
    <tableColumn id="3" xr3:uid="{FB773BCE-E647-482F-9921-16DFC6E0B36D}" uniqueName="3" name="Description" queryTableFieldId="3" dataDxfId="31"/>
    <tableColumn id="12" xr3:uid="{D975A51F-DFED-418B-8609-207EC9E75E43}" uniqueName="12" name="Type" queryTableFieldId="12" dataDxfId="30"/>
    <tableColumn id="13" xr3:uid="{AF65E99A-A6F1-4418-ADB7-72B5DB312AB2}" uniqueName="13" name="AmountIn" queryTableFieldId="13" dataDxfId="29"/>
    <tableColumn id="18" xr3:uid="{F85E37E5-3453-484B-9440-B94BB697DE2F}" uniqueName="18" name="AmountOut" queryTableFieldId="18" dataDxfId="28"/>
    <tableColumn id="19" xr3:uid="{0D172CA1-18DF-42A5-8BD1-023FE5478A84}" uniqueName="19" name="Balance" queryTableFieldId="19" dataDxfId="27"/>
    <tableColumn id="20" xr3:uid="{91211F5A-8B81-4ADB-ACF9-C533DADEFAF2}" uniqueName="20" name="Category" queryTableFieldId="20" dataDxfId="26"/>
    <tableColumn id="21" xr3:uid="{AC58A502-77DC-4D28-9422-134BB6372E5A}" uniqueName="21" name="SubCategory" queryTableFieldId="21" dataDxfId="2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2DFEFE0-517E-4380-B2ED-2C0496F0A07A}" name="Append3" displayName="Append3" ref="A1:H61" tableType="queryTable" totalsRowShown="0">
  <autoFilter ref="A1:H61" xr:uid="{22DFEFE0-517E-4380-B2ED-2C0496F0A07A}"/>
  <tableColumns count="8">
    <tableColumn id="1" xr3:uid="{D4AF2A5D-D9B6-4970-BC3D-B2F401BA9BFE}" uniqueName="1" name="TransactionDate" queryTableFieldId="1" dataDxfId="24"/>
    <tableColumn id="3" xr3:uid="{5959A9D7-17E5-401E-9B08-5D945E47DDF7}" uniqueName="3" name="Description" queryTableFieldId="3" dataDxfId="23"/>
    <tableColumn id="4" xr3:uid="{8458673D-9112-4DE7-B0D4-6DD103657E6E}" uniqueName="4" name="Type" queryTableFieldId="4" dataDxfId="22"/>
    <tableColumn id="24" xr3:uid="{48BA887F-BDC3-4F42-B667-BCCBB95AB282}" uniqueName="24" name="AmountIn" queryTableFieldId="24" dataDxfId="21"/>
    <tableColumn id="25" xr3:uid="{764840C0-42C0-4B87-ADCF-7E4C8B69CA66}" uniqueName="25" name="AmountOut" queryTableFieldId="25" dataDxfId="20"/>
    <tableColumn id="26" xr3:uid="{B580A0D8-157B-403D-BF34-C7CE16DBCA06}" uniqueName="26" name="Balance" queryTableFieldId="26" dataDxfId="19"/>
    <tableColumn id="5" xr3:uid="{64B1F6DD-A732-450A-8D78-5F47C5B272FF}" uniqueName="5" name="Category" queryTableFieldId="5" dataDxfId="18"/>
    <tableColumn id="27" xr3:uid="{E3722B05-FB0C-42F0-A5ED-16447C18A4F6}" uniqueName="27" name="SubCategory" queryTableFieldId="27" dataDxfId="17">
      <calculatedColumnFormula>IF(G2="Transport","Fare / Travel",
IF(G2="Groceries","Shopping",
IF(G2="Essentials","Shopping",
IF(G2="Income","Salary / Reimbursement",
IF(G2="Personal","Friends &amp; Family",
IF(G2="Entertainment","Fun / Treats",
IF(G2="Rent","Rent",
IF(G2="Utilities","Mobile / Data",
"Other"))))))))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30972F1-E38D-439D-A2FD-C5D925548EFE}" name="Append316" displayName="Append316" ref="A1:H61" tableType="queryTable" totalsRowShown="0">
  <autoFilter ref="A1:H61" xr:uid="{22DFEFE0-517E-4380-B2ED-2C0496F0A07A}"/>
  <tableColumns count="8">
    <tableColumn id="1" xr3:uid="{0E74C340-7237-49E1-9363-46FAFEB08BA7}" uniqueName="1" name="TransactionDate" queryTableFieldId="1" dataDxfId="16"/>
    <tableColumn id="3" xr3:uid="{7B817811-5E1A-4B6A-A109-39F50726CCA3}" uniqueName="3" name="Description" queryTableFieldId="3" dataDxfId="15"/>
    <tableColumn id="4" xr3:uid="{30383BA5-E58E-4FDB-8893-7CE593831CC0}" uniqueName="4" name="Type" queryTableFieldId="4" dataDxfId="14"/>
    <tableColumn id="24" xr3:uid="{7053B77D-C2E8-4170-A9D8-5D0BED0981FC}" uniqueName="24" name="AmountIn" queryTableFieldId="24" dataDxfId="13"/>
    <tableColumn id="25" xr3:uid="{6C58295D-5EBC-4911-9134-F71D5C00A589}" uniqueName="25" name="AmountOut" queryTableFieldId="25" dataDxfId="12"/>
    <tableColumn id="26" xr3:uid="{F9226144-C398-42EB-A33D-DB1C9481ACF8}" uniqueName="26" name="Balance" queryTableFieldId="26" dataDxfId="11"/>
    <tableColumn id="5" xr3:uid="{3D57D4F5-BAB9-42E2-835B-B7BC06B62D70}" uniqueName="5" name="Category" queryTableFieldId="5" dataDxfId="10"/>
    <tableColumn id="27" xr3:uid="{AA80ACB6-C95C-4D2D-AF93-C95D35DE40AE}" uniqueName="27" name="SubCategory" queryTableFieldId="27" dataDxfId="9">
      <calculatedColumnFormula>IF(G2="Transport","Fare / Travel",
IF(G2="Groceries","Shopping",
IF(G2="Essentials","Shopping",
IF(G2="Income","Salary / Reimbursement",
IF(G2="Personal","Friends &amp; Family",
IF(G2="Entertainment","Fun / Treats",
IF(G2="Rent","Rent",
IF(G2="Utilities","Mobile / Data",
"Other"))))))))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7DD7BBF-D0A6-483D-BBB3-CF9640C5C783}" name="Append1517" displayName="Append1517" ref="A1:I37" tableType="queryTable" totalsRowShown="0">
  <autoFilter ref="A1:I37" xr:uid="{77DD7BBF-D0A6-483D-BBB3-CF9640C5C783}"/>
  <tableColumns count="9">
    <tableColumn id="1" xr3:uid="{8873FF52-4656-4783-A5BD-ED00594868F4}" uniqueName="1" name="TransDate" queryTableFieldId="1" dataDxfId="8"/>
    <tableColumn id="26" xr3:uid="{748EF5C0-80E8-417D-925C-95297303FE73}" uniqueName="26" name="Month" queryTableFieldId="26" dataDxfId="7"/>
    <tableColumn id="3" xr3:uid="{E6D78827-49D6-4944-A651-EF78948E5CDA}" uniqueName="3" name="Description" queryTableFieldId="3" dataDxfId="6"/>
    <tableColumn id="13" xr3:uid="{3E5D2FF4-6B04-4FAB-8505-C0B1360FBACA}" uniqueName="13" name="Type" queryTableFieldId="13" dataDxfId="5"/>
    <tableColumn id="17" xr3:uid="{D922E4F2-92C7-478B-8E9B-93B5164AB9F4}" uniqueName="17" name="AmountIn" queryTableFieldId="17" dataDxfId="4"/>
    <tableColumn id="18" xr3:uid="{636E8CAE-A2AF-4D1B-8CE1-ED751C125476}" uniqueName="18" name="AmountOut" queryTableFieldId="18" dataDxfId="3"/>
    <tableColumn id="19" xr3:uid="{76D672E7-33F6-4813-86C5-0640A086CC74}" uniqueName="19" name="Balance" queryTableFieldId="19" dataDxfId="2"/>
    <tableColumn id="21" xr3:uid="{1D6583A9-0B5E-4D41-A769-5082AF1EB536}" uniqueName="21" name="CategoryName" queryTableFieldId="21" dataDxfId="1">
      <calculatedColumnFormula>IF(ISNUMBER(SEARCH("IR",C2)),"Transport",
IF(ISNUMBER(SEARCH("ARRIVA",C2)),"Transport",
IF(ISNUMBER(SEARCH("Zettle",C2)),"Transport",
IF(ISNUMBER(SEARCH("ULP",C2)),"Rent",
IF(OR(ISNUMBER(SEARCH("NEW SEASON CASH",C2)),ISNUMBER(SEARCH("ALDI",C2)),ISNUMBER(SEARCH("B&amp;M",C2)),ISNUMBER(SEARCH("POUNDLAND",C2)),ISNUMBER(SEARCH("DAILY CATCH",C2)),ISNUMBER(SEARCH("ME2",C2)),ISNUMBER(SEARCH("Nisa",C2)),ISNUMBER(SEARCH("KENT CASH AND CARR",C2))),"Groceries",
IF(OR(ISNUMBER(SEARCH("KP",C2)),ISNUMBER(SEARCH("CUL",C2)),ISNUMBER(SEARCH("RETAIL A",C2))),"Income",
IF(OR(ISNUMBER(SEARCH("CN",C2)),ISNUMBER(SEARCH("OO",C2)),ISNUMBER(SEARCH("BS",C2))),"Personal",
IF(ISNUMBER(SEARCH("LEMFI",C2)),"Personal",
IF(ISNUMBER(SEARCH("H3G",C2)),"Utilities",
IF(ISNUMBER(SEARCH("MOOBOO",C2)),"Entertainment","Other"))))))))))</calculatedColumnFormula>
    </tableColumn>
    <tableColumn id="22" xr3:uid="{9BD6236E-D0F0-4E41-990E-0920831410FB}" uniqueName="22" name="SubcatName" queryTableFieldId="22" dataDxfId="0">
      <calculatedColumnFormula>IF(H2="Transport","Fare / Travel",
IF(H2="Rent/Utilities","Rent",
IF(H2="Groceries","Shopping",
IF(H2="Income","Salary / Reimbursement",
IF(H2="Personal",
IF(OR(ISNUMBER(SEARCH("LEMFI",C2)),"Exchange"),"Exchange","Friends &amp; Family"),
IF(H2="Utilities","Mobile / Data",
IF(H2="Entertainment","Fun / Treats","Other")))))))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9696-F546-46C7-AF5F-7F962326722A}">
  <dimension ref="A1:H37"/>
  <sheetViews>
    <sheetView topLeftCell="A11" workbookViewId="0">
      <selection activeCell="D25" sqref="D25"/>
    </sheetView>
  </sheetViews>
  <sheetFormatPr defaultRowHeight="14.4" x14ac:dyDescent="0.3"/>
  <cols>
    <col min="1" max="1" width="16.5546875" bestFit="1" customWidth="1"/>
    <col min="2" max="2" width="20.5546875" bestFit="1" customWidth="1"/>
    <col min="3" max="3" width="11.44140625" bestFit="1" customWidth="1"/>
    <col min="4" max="4" width="15.109375" bestFit="1" customWidth="1"/>
    <col min="5" max="5" width="16.5546875" bestFit="1" customWidth="1"/>
    <col min="6" max="6" width="16.21875" bestFit="1" customWidth="1"/>
    <col min="7" max="7" width="10.33203125" bestFit="1" customWidth="1"/>
    <col min="8" max="8" width="20.21875" bestFit="1" customWidth="1"/>
  </cols>
  <sheetData>
    <row r="1" spans="1:8" x14ac:dyDescent="0.3">
      <c r="A1" t="s">
        <v>111</v>
      </c>
      <c r="B1" t="s">
        <v>1</v>
      </c>
      <c r="C1" t="s">
        <v>2</v>
      </c>
      <c r="D1" t="s">
        <v>113</v>
      </c>
      <c r="E1" t="s">
        <v>114</v>
      </c>
      <c r="F1" t="s">
        <v>116</v>
      </c>
      <c r="G1" t="s">
        <v>117</v>
      </c>
      <c r="H1" t="s">
        <v>118</v>
      </c>
    </row>
    <row r="2" spans="1:8" x14ac:dyDescent="0.3">
      <c r="A2" t="s">
        <v>67</v>
      </c>
      <c r="B2" t="s">
        <v>10</v>
      </c>
      <c r="C2" t="s">
        <v>68</v>
      </c>
      <c r="D2" t="s">
        <v>69</v>
      </c>
      <c r="F2" t="s">
        <v>70</v>
      </c>
      <c r="G2" t="str">
        <f>IF(ISNUMBER(SEARCH("INFORMATION RESOUR",B2)),"Transport",
IF(ISNUMBER(SEARCH("ARRIVA",B2)),"Transport",
IF(ISNUMBER(SEARCH("Zettle",B2)),"Transport",
IF(ISNUMBER(SEARCH("UPRISE",B2)),"Rent/Utilities",
IF(OR(ISNUMBER(SEARCH("NEW SEASON CASH",B2)),ISNUMBER(SEARCH("ALDI",B2)),ISNUMBER(SEARCH("B&amp;M",B2)),ISNUMBER(SEARCH("POUNDLAND",B2)),ISNUMBER(SEARCH("DAILY CATCH",B2)),ISNUMBER(SEARCH("ME2",B2)),ISNUMBER(SEARCH("Nisa",B2)),ISNUMBER(SEARCH("KENT CASH AND CARR",B2))),"Groceries",
IF(OR(ISNUMBER(SEARCH("KINGDOM PEOPLE",B2)),ISNUMBER(SEARCH("CIRCANA",B2)),ISNUMBER(SEARCH("RETAIL A",B2))),"Income",
IF(OR(ISNUMBER(SEARCH("CHIOMA NNADI",B2)),ISNUMBER(SEARCH("OPEYEMI OBAMAKINWA",B2)),ISNUMBER(SEARCH("BUSAYO SAMUEL",B2))),"Personal",
IF(ISNUMBER(SEARCH("LEMFI",B2)),"Personal",
IF(ISNUMBER(SEARCH("H3G",B2)),"Utilities",
IF(ISNUMBER(SEARCH("MOOBOO",B2)),"Entertainment","Other"))))))))))</f>
        <v>Personal</v>
      </c>
      <c r="H2" t="str">
        <f t="shared" ref="H2:H37" si="0">IF(G2="Transport","Fare / Travel",
IF(G2="Rent/Utilities","Rent",
IF(G2="Groceries","Shopping",
IF(G2="Income","Salary / Reimbursement",
IF(G2="Personal",
IF(OR(ISNUMBER(SEARCH("LEMFI",B2)),"Exchange"),"Exchange","Friends &amp; Family"),
IF(G2="Utilities","Mobile / Data",
IF(G2="Entertainment","Fun / Treats","Other")))))))</f>
        <v>Friends &amp; Family</v>
      </c>
    </row>
    <row r="3" spans="1:8" x14ac:dyDescent="0.3">
      <c r="A3" t="s">
        <v>67</v>
      </c>
      <c r="B3" t="s">
        <v>71</v>
      </c>
      <c r="C3" t="s">
        <v>72</v>
      </c>
      <c r="D3" t="s">
        <v>30</v>
      </c>
      <c r="F3" t="s">
        <v>73</v>
      </c>
      <c r="G3" t="str">
        <f t="shared" ref="G3:G37" si="1">IF(ISNUMBER(SEARCH("INFORMATION RESOUR",B3)),"Transport",
IF(ISNUMBER(SEARCH("ARRIVA",B3)),"Transport",
IF(ISNUMBER(SEARCH("Zettle",B3)),"Transport",
IF(ISNUMBER(SEARCH("UPRISE",B3)),"Rent/Utilities",
IF(OR(ISNUMBER(SEARCH("NEW SEASON CASH",B3)),ISNUMBER(SEARCH("ALDI",B3)),ISNUMBER(SEARCH("B&amp;M",B3)),ISNUMBER(SEARCH("POUNDLAND",B3)),ISNUMBER(SEARCH("DAILY CATCH",B3)),ISNUMBER(SEARCH("ME2",B3)),ISNUMBER(SEARCH("Nisa",B3)),ISNUMBER(SEARCH("KENT CASH AND CARR",B3))),"Groceries",
IF(OR(ISNUMBER(SEARCH("KINGDOM PEOPLE",B3)),ISNUMBER(SEARCH("CIRCANA",B3)),ISNUMBER(SEARCH("RETAIL A",B3))),"Income",
IF(OR(ISNUMBER(SEARCH("CHIOMA NNADI",B3)),ISNUMBER(SEARCH("OPEYEMI OBAMAKINWA",B3)),ISNUMBER(SEARCH("BUSAYO SAMUEL",B3))),"Personal",
IF(ISNUMBER(SEARCH("LEMFI",B3)),"Personal",
IF(ISNUMBER(SEARCH("H3G",B3)),"Utilities",
IF(ISNUMBER(SEARCH("MOOBOO",B3)),"Entertainment","Other"))))))))))</f>
        <v>Transport</v>
      </c>
      <c r="H3" t="str">
        <f t="shared" si="0"/>
        <v>Fare / Travel</v>
      </c>
    </row>
    <row r="4" spans="1:8" x14ac:dyDescent="0.3">
      <c r="A4" t="s">
        <v>67</v>
      </c>
      <c r="B4" t="s">
        <v>71</v>
      </c>
      <c r="C4" t="s">
        <v>72</v>
      </c>
      <c r="D4" t="s">
        <v>74</v>
      </c>
      <c r="F4" t="s">
        <v>75</v>
      </c>
      <c r="G4" t="str">
        <f t="shared" si="1"/>
        <v>Transport</v>
      </c>
      <c r="H4" t="str">
        <f t="shared" si="0"/>
        <v>Fare / Travel</v>
      </c>
    </row>
    <row r="5" spans="1:8" x14ac:dyDescent="0.3">
      <c r="A5" t="s">
        <v>67</v>
      </c>
      <c r="B5" t="s">
        <v>71</v>
      </c>
      <c r="C5" t="s">
        <v>72</v>
      </c>
      <c r="D5" t="s">
        <v>76</v>
      </c>
      <c r="F5" t="s">
        <v>77</v>
      </c>
      <c r="G5" t="str">
        <f t="shared" si="1"/>
        <v>Transport</v>
      </c>
      <c r="H5" t="str">
        <f t="shared" si="0"/>
        <v>Fare / Travel</v>
      </c>
    </row>
    <row r="6" spans="1:8" x14ac:dyDescent="0.3">
      <c r="A6" t="s">
        <v>78</v>
      </c>
      <c r="B6" t="s">
        <v>79</v>
      </c>
      <c r="C6" t="s">
        <v>68</v>
      </c>
      <c r="D6" t="s">
        <v>80</v>
      </c>
      <c r="F6" t="s">
        <v>81</v>
      </c>
      <c r="G6" t="str">
        <f t="shared" si="1"/>
        <v>Income</v>
      </c>
      <c r="H6" t="str">
        <f t="shared" si="0"/>
        <v>Salary / Reimbursement</v>
      </c>
    </row>
    <row r="7" spans="1:8" x14ac:dyDescent="0.3">
      <c r="A7" t="s">
        <v>82</v>
      </c>
      <c r="B7" t="s">
        <v>83</v>
      </c>
      <c r="C7" t="s">
        <v>14</v>
      </c>
      <c r="E7" t="s">
        <v>84</v>
      </c>
      <c r="F7" t="s">
        <v>85</v>
      </c>
      <c r="G7" t="str">
        <f t="shared" si="1"/>
        <v>Groceries</v>
      </c>
      <c r="H7" t="str">
        <f t="shared" si="0"/>
        <v>Shopping</v>
      </c>
    </row>
    <row r="8" spans="1:8" ht="16.2" customHeight="1" x14ac:dyDescent="0.3">
      <c r="A8" t="s">
        <v>86</v>
      </c>
      <c r="B8" t="s">
        <v>87</v>
      </c>
      <c r="C8" t="s">
        <v>14</v>
      </c>
      <c r="E8" t="s">
        <v>88</v>
      </c>
      <c r="F8" t="s">
        <v>89</v>
      </c>
      <c r="G8" t="str">
        <f t="shared" si="1"/>
        <v>Groceries</v>
      </c>
      <c r="H8" t="str">
        <f t="shared" si="0"/>
        <v>Shopping</v>
      </c>
    </row>
    <row r="9" spans="1:8" x14ac:dyDescent="0.3">
      <c r="A9" t="s">
        <v>86</v>
      </c>
      <c r="B9" t="s">
        <v>90</v>
      </c>
      <c r="C9" t="s">
        <v>14</v>
      </c>
      <c r="E9" t="s">
        <v>91</v>
      </c>
      <c r="F9" t="s">
        <v>92</v>
      </c>
      <c r="G9" t="str">
        <f t="shared" si="1"/>
        <v>Groceries</v>
      </c>
      <c r="H9" t="str">
        <f t="shared" si="0"/>
        <v>Shopping</v>
      </c>
    </row>
    <row r="10" spans="1:8" x14ac:dyDescent="0.3">
      <c r="A10" t="s">
        <v>86</v>
      </c>
      <c r="B10" t="s">
        <v>13</v>
      </c>
      <c r="C10" t="s">
        <v>14</v>
      </c>
      <c r="E10" t="s">
        <v>93</v>
      </c>
      <c r="F10" t="s">
        <v>94</v>
      </c>
      <c r="G10" t="str">
        <f t="shared" si="1"/>
        <v>Groceries</v>
      </c>
      <c r="H10" t="str">
        <f t="shared" si="0"/>
        <v>Shopping</v>
      </c>
    </row>
    <row r="11" spans="1:8" x14ac:dyDescent="0.3">
      <c r="A11" t="s">
        <v>86</v>
      </c>
      <c r="B11" t="s">
        <v>13</v>
      </c>
      <c r="C11" t="s">
        <v>14</v>
      </c>
      <c r="E11" t="s">
        <v>95</v>
      </c>
      <c r="F11" t="s">
        <v>96</v>
      </c>
      <c r="G11" t="str">
        <f t="shared" si="1"/>
        <v>Groceries</v>
      </c>
      <c r="H11" t="str">
        <f t="shared" si="0"/>
        <v>Shopping</v>
      </c>
    </row>
    <row r="12" spans="1:8" x14ac:dyDescent="0.3">
      <c r="A12" t="s">
        <v>86</v>
      </c>
      <c r="B12" t="s">
        <v>97</v>
      </c>
      <c r="C12" t="s">
        <v>14</v>
      </c>
      <c r="E12" t="s">
        <v>98</v>
      </c>
      <c r="F12" t="s">
        <v>99</v>
      </c>
      <c r="G12" t="str">
        <f t="shared" si="1"/>
        <v>Groceries</v>
      </c>
      <c r="H12" t="str">
        <f t="shared" si="0"/>
        <v>Shopping</v>
      </c>
    </row>
    <row r="13" spans="1:8" x14ac:dyDescent="0.3">
      <c r="A13" t="s">
        <v>82</v>
      </c>
      <c r="B13" t="s">
        <v>100</v>
      </c>
      <c r="C13" t="s">
        <v>14</v>
      </c>
      <c r="E13" t="s">
        <v>101</v>
      </c>
      <c r="F13" t="s">
        <v>102</v>
      </c>
      <c r="G13" t="str">
        <f t="shared" si="1"/>
        <v>Transport</v>
      </c>
      <c r="H13" t="str">
        <f t="shared" si="0"/>
        <v>Fare / Travel</v>
      </c>
    </row>
    <row r="14" spans="1:8" x14ac:dyDescent="0.3">
      <c r="A14" t="s">
        <v>103</v>
      </c>
      <c r="B14" t="s">
        <v>71</v>
      </c>
      <c r="C14" t="s">
        <v>72</v>
      </c>
      <c r="D14" t="s">
        <v>76</v>
      </c>
      <c r="F14" t="s">
        <v>104</v>
      </c>
      <c r="G14" t="str">
        <f t="shared" si="1"/>
        <v>Transport</v>
      </c>
      <c r="H14" t="str">
        <f t="shared" si="0"/>
        <v>Fare / Travel</v>
      </c>
    </row>
    <row r="15" spans="1:8" x14ac:dyDescent="0.3">
      <c r="A15" t="s">
        <v>105</v>
      </c>
      <c r="B15" t="s">
        <v>112</v>
      </c>
      <c r="C15" t="s">
        <v>72</v>
      </c>
      <c r="D15" t="s">
        <v>106</v>
      </c>
      <c r="F15" t="s">
        <v>107</v>
      </c>
      <c r="G15" t="str">
        <f t="shared" si="1"/>
        <v>Income</v>
      </c>
      <c r="H15" t="str">
        <f t="shared" si="0"/>
        <v>Salary / Reimbursement</v>
      </c>
    </row>
    <row r="16" spans="1:8" x14ac:dyDescent="0.3">
      <c r="A16" t="s">
        <v>105</v>
      </c>
      <c r="B16" t="s">
        <v>108</v>
      </c>
      <c r="C16" t="s">
        <v>72</v>
      </c>
      <c r="D16" t="s">
        <v>109</v>
      </c>
      <c r="F16" t="s">
        <v>110</v>
      </c>
      <c r="G16" t="str">
        <f t="shared" si="1"/>
        <v>Income</v>
      </c>
      <c r="H16" t="str">
        <f t="shared" si="0"/>
        <v>Salary / Reimbursement</v>
      </c>
    </row>
    <row r="17" spans="1:8" x14ac:dyDescent="0.3">
      <c r="A17" t="s">
        <v>5</v>
      </c>
      <c r="B17" t="s">
        <v>6</v>
      </c>
      <c r="C17" t="s">
        <v>7</v>
      </c>
      <c r="E17" t="s">
        <v>8</v>
      </c>
      <c r="F17" t="s">
        <v>9</v>
      </c>
      <c r="G17" t="str">
        <f t="shared" si="1"/>
        <v>Personal</v>
      </c>
      <c r="H17" t="str">
        <f t="shared" si="0"/>
        <v>Friends &amp; Family</v>
      </c>
    </row>
    <row r="18" spans="1:8" x14ac:dyDescent="0.3">
      <c r="A18" t="s">
        <v>5</v>
      </c>
      <c r="B18" t="s">
        <v>4</v>
      </c>
      <c r="C18" t="s">
        <v>115</v>
      </c>
      <c r="D18" t="s">
        <v>8</v>
      </c>
      <c r="F18" t="s">
        <v>110</v>
      </c>
      <c r="G18" t="str">
        <f t="shared" si="1"/>
        <v>Personal</v>
      </c>
      <c r="H18" t="str">
        <f t="shared" si="0"/>
        <v>Exchange</v>
      </c>
    </row>
    <row r="19" spans="1:8" x14ac:dyDescent="0.3">
      <c r="A19" t="s">
        <v>5</v>
      </c>
      <c r="B19" t="s">
        <v>6</v>
      </c>
      <c r="C19" t="s">
        <v>7</v>
      </c>
      <c r="E19" t="s">
        <v>8</v>
      </c>
      <c r="F19" t="s">
        <v>9</v>
      </c>
      <c r="G19" t="str">
        <f t="shared" si="1"/>
        <v>Personal</v>
      </c>
      <c r="H19" t="str">
        <f t="shared" si="0"/>
        <v>Friends &amp; Family</v>
      </c>
    </row>
    <row r="20" spans="1:8" x14ac:dyDescent="0.3">
      <c r="A20" t="s">
        <v>5</v>
      </c>
      <c r="B20" t="s">
        <v>10</v>
      </c>
      <c r="C20" t="s">
        <v>7</v>
      </c>
      <c r="E20" t="s">
        <v>11</v>
      </c>
      <c r="F20" t="s">
        <v>12</v>
      </c>
      <c r="G20" t="str">
        <f t="shared" si="1"/>
        <v>Personal</v>
      </c>
      <c r="H20" t="str">
        <f t="shared" si="0"/>
        <v>Friends &amp; Family</v>
      </c>
    </row>
    <row r="21" spans="1:8" x14ac:dyDescent="0.3">
      <c r="A21" t="s">
        <v>5</v>
      </c>
      <c r="B21" t="s">
        <v>13</v>
      </c>
      <c r="C21" t="s">
        <v>14</v>
      </c>
      <c r="E21" t="s">
        <v>15</v>
      </c>
      <c r="F21" t="s">
        <v>16</v>
      </c>
      <c r="G21" t="str">
        <f t="shared" si="1"/>
        <v>Groceries</v>
      </c>
      <c r="H21" t="str">
        <f t="shared" si="0"/>
        <v>Shopping</v>
      </c>
    </row>
    <row r="22" spans="1:8" x14ac:dyDescent="0.3">
      <c r="A22" t="s">
        <v>5</v>
      </c>
      <c r="B22" t="s">
        <v>17</v>
      </c>
      <c r="C22" t="s">
        <v>14</v>
      </c>
      <c r="E22" t="s">
        <v>18</v>
      </c>
      <c r="F22" t="s">
        <v>19</v>
      </c>
      <c r="G22" t="str">
        <f t="shared" si="1"/>
        <v>Groceries</v>
      </c>
      <c r="H22" t="str">
        <f t="shared" si="0"/>
        <v>Shopping</v>
      </c>
    </row>
    <row r="23" spans="1:8" x14ac:dyDescent="0.3">
      <c r="A23" t="s">
        <v>5</v>
      </c>
      <c r="B23" t="s">
        <v>20</v>
      </c>
      <c r="C23" t="s">
        <v>21</v>
      </c>
      <c r="E23" t="s">
        <v>22</v>
      </c>
      <c r="F23" t="s">
        <v>23</v>
      </c>
      <c r="G23" t="str">
        <f t="shared" si="1"/>
        <v>Utilities</v>
      </c>
      <c r="H23" t="str">
        <f t="shared" si="0"/>
        <v>Mobile / Data</v>
      </c>
    </row>
    <row r="24" spans="1:8" x14ac:dyDescent="0.3">
      <c r="A24" t="s">
        <v>3</v>
      </c>
      <c r="B24" t="s">
        <v>24</v>
      </c>
      <c r="C24" t="s">
        <v>14</v>
      </c>
      <c r="E24" t="s">
        <v>26</v>
      </c>
      <c r="F24" t="s">
        <v>27</v>
      </c>
      <c r="G24" t="str">
        <f t="shared" si="1"/>
        <v>Groceries</v>
      </c>
      <c r="H24" t="str">
        <f t="shared" si="0"/>
        <v>Shopping</v>
      </c>
    </row>
    <row r="25" spans="1:8" x14ac:dyDescent="0.3">
      <c r="A25" t="s">
        <v>28</v>
      </c>
      <c r="B25" t="s">
        <v>29</v>
      </c>
      <c r="C25" t="s">
        <v>14</v>
      </c>
      <c r="E25" t="s">
        <v>30</v>
      </c>
      <c r="F25" t="s">
        <v>31</v>
      </c>
      <c r="G25" t="str">
        <f t="shared" si="1"/>
        <v>Transport</v>
      </c>
      <c r="H25" t="str">
        <f t="shared" si="0"/>
        <v>Fare / Travel</v>
      </c>
    </row>
    <row r="26" spans="1:8" x14ac:dyDescent="0.3">
      <c r="A26" t="s">
        <v>28</v>
      </c>
      <c r="B26" t="s">
        <v>29</v>
      </c>
      <c r="C26" t="s">
        <v>14</v>
      </c>
      <c r="E26" t="s">
        <v>30</v>
      </c>
      <c r="F26" t="s">
        <v>32</v>
      </c>
      <c r="G26" t="str">
        <f t="shared" si="1"/>
        <v>Transport</v>
      </c>
      <c r="H26" t="str">
        <f t="shared" si="0"/>
        <v>Fare / Travel</v>
      </c>
    </row>
    <row r="27" spans="1:8" x14ac:dyDescent="0.3">
      <c r="A27" t="s">
        <v>33</v>
      </c>
      <c r="B27" t="s">
        <v>34</v>
      </c>
      <c r="C27" t="s">
        <v>7</v>
      </c>
      <c r="E27" t="s">
        <v>35</v>
      </c>
      <c r="F27" t="s">
        <v>36</v>
      </c>
      <c r="G27" t="str">
        <f t="shared" si="1"/>
        <v>Rent/Utilities</v>
      </c>
      <c r="H27" t="str">
        <f t="shared" si="0"/>
        <v>Rent</v>
      </c>
    </row>
    <row r="28" spans="1:8" x14ac:dyDescent="0.3">
      <c r="A28" t="s">
        <v>33</v>
      </c>
      <c r="B28" t="s">
        <v>37</v>
      </c>
      <c r="C28" t="s">
        <v>14</v>
      </c>
      <c r="E28" t="s">
        <v>38</v>
      </c>
      <c r="F28" t="s">
        <v>39</v>
      </c>
      <c r="G28" t="str">
        <f t="shared" si="1"/>
        <v>Groceries</v>
      </c>
      <c r="H28" t="str">
        <f t="shared" si="0"/>
        <v>Shopping</v>
      </c>
    </row>
    <row r="29" spans="1:8" x14ac:dyDescent="0.3">
      <c r="A29" t="s">
        <v>40</v>
      </c>
      <c r="B29" t="s">
        <v>13</v>
      </c>
      <c r="C29" t="s">
        <v>14</v>
      </c>
      <c r="E29" t="s">
        <v>41</v>
      </c>
      <c r="F29" t="s">
        <v>42</v>
      </c>
      <c r="G29" t="str">
        <f t="shared" si="1"/>
        <v>Groceries</v>
      </c>
      <c r="H29" t="str">
        <f t="shared" si="0"/>
        <v>Shopping</v>
      </c>
    </row>
    <row r="30" spans="1:8" x14ac:dyDescent="0.3">
      <c r="A30" t="s">
        <v>43</v>
      </c>
      <c r="B30" t="s">
        <v>44</v>
      </c>
      <c r="C30" t="s">
        <v>7</v>
      </c>
      <c r="E30" t="s">
        <v>46</v>
      </c>
      <c r="F30" t="s">
        <v>47</v>
      </c>
      <c r="G30" t="str">
        <f t="shared" si="1"/>
        <v>Personal</v>
      </c>
      <c r="H30" t="str">
        <f t="shared" si="0"/>
        <v>Friends &amp; Family</v>
      </c>
    </row>
    <row r="31" spans="1:8" x14ac:dyDescent="0.3">
      <c r="A31" t="s">
        <v>48</v>
      </c>
      <c r="B31" t="s">
        <v>49</v>
      </c>
      <c r="C31" t="s">
        <v>14</v>
      </c>
      <c r="E31" t="s">
        <v>50</v>
      </c>
      <c r="F31" t="s">
        <v>51</v>
      </c>
      <c r="G31" t="str">
        <f t="shared" si="1"/>
        <v>Groceries</v>
      </c>
      <c r="H31" t="str">
        <f t="shared" si="0"/>
        <v>Shopping</v>
      </c>
    </row>
    <row r="32" spans="1:8" x14ac:dyDescent="0.3">
      <c r="A32" t="s">
        <v>48</v>
      </c>
      <c r="B32" t="s">
        <v>52</v>
      </c>
      <c r="C32" t="s">
        <v>14</v>
      </c>
      <c r="E32" t="s">
        <v>53</v>
      </c>
      <c r="F32" t="s">
        <v>54</v>
      </c>
      <c r="G32" t="str">
        <f t="shared" si="1"/>
        <v>Groceries</v>
      </c>
      <c r="H32" t="str">
        <f t="shared" si="0"/>
        <v>Shopping</v>
      </c>
    </row>
    <row r="33" spans="1:8" x14ac:dyDescent="0.3">
      <c r="A33" t="s">
        <v>55</v>
      </c>
      <c r="B33" t="s">
        <v>29</v>
      </c>
      <c r="C33" t="s">
        <v>14</v>
      </c>
      <c r="E33" t="s">
        <v>30</v>
      </c>
      <c r="F33" t="s">
        <v>56</v>
      </c>
      <c r="G33" t="str">
        <f t="shared" si="1"/>
        <v>Transport</v>
      </c>
      <c r="H33" t="str">
        <f t="shared" si="0"/>
        <v>Fare / Travel</v>
      </c>
    </row>
    <row r="34" spans="1:8" x14ac:dyDescent="0.3">
      <c r="A34" t="s">
        <v>55</v>
      </c>
      <c r="B34" t="s">
        <v>29</v>
      </c>
      <c r="C34" t="s">
        <v>14</v>
      </c>
      <c r="E34" t="s">
        <v>30</v>
      </c>
      <c r="F34" t="s">
        <v>57</v>
      </c>
      <c r="G34" t="str">
        <f t="shared" si="1"/>
        <v>Transport</v>
      </c>
      <c r="H34" t="str">
        <f t="shared" si="0"/>
        <v>Fare / Travel</v>
      </c>
    </row>
    <row r="35" spans="1:8" x14ac:dyDescent="0.3">
      <c r="A35" t="s">
        <v>55</v>
      </c>
      <c r="B35" t="s">
        <v>58</v>
      </c>
      <c r="C35" t="s">
        <v>14</v>
      </c>
      <c r="E35" t="s">
        <v>59</v>
      </c>
      <c r="F35" t="s">
        <v>60</v>
      </c>
      <c r="G35" t="str">
        <f t="shared" si="1"/>
        <v>Transport</v>
      </c>
      <c r="H35" t="str">
        <f t="shared" si="0"/>
        <v>Fare / Travel</v>
      </c>
    </row>
    <row r="36" spans="1:8" x14ac:dyDescent="0.3">
      <c r="A36" t="s">
        <v>61</v>
      </c>
      <c r="B36" t="s">
        <v>62</v>
      </c>
      <c r="C36" t="s">
        <v>14</v>
      </c>
      <c r="E36" t="s">
        <v>63</v>
      </c>
      <c r="F36" t="s">
        <v>64</v>
      </c>
      <c r="G36" t="str">
        <f t="shared" si="1"/>
        <v>Entertainment</v>
      </c>
      <c r="H36" t="str">
        <f t="shared" si="0"/>
        <v>Fun / Treats</v>
      </c>
    </row>
    <row r="37" spans="1:8" x14ac:dyDescent="0.3">
      <c r="A37" t="s">
        <v>55</v>
      </c>
      <c r="B37" t="s">
        <v>13</v>
      </c>
      <c r="C37" t="s">
        <v>14</v>
      </c>
      <c r="E37" t="s">
        <v>65</v>
      </c>
      <c r="F37" t="s">
        <v>66</v>
      </c>
      <c r="G37" t="str">
        <f t="shared" si="1"/>
        <v>Groceries</v>
      </c>
      <c r="H37" t="str">
        <f t="shared" si="0"/>
        <v>Shopping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7A98-7C84-4628-AB45-3DDABA62867C}">
  <dimension ref="A1:H37"/>
  <sheetViews>
    <sheetView workbookViewId="0">
      <selection activeCell="L19" sqref="L19"/>
    </sheetView>
  </sheetViews>
  <sheetFormatPr defaultRowHeight="14.4" x14ac:dyDescent="0.3"/>
  <cols>
    <col min="1" max="1" width="16.5546875" style="2" bestFit="1" customWidth="1"/>
    <col min="2" max="2" width="20.5546875" bestFit="1" customWidth="1"/>
    <col min="3" max="3" width="11.44140625" bestFit="1" customWidth="1"/>
    <col min="4" max="4" width="15.109375" bestFit="1" customWidth="1"/>
    <col min="5" max="5" width="16.5546875" bestFit="1" customWidth="1"/>
    <col min="6" max="6" width="16.21875" bestFit="1" customWidth="1"/>
    <col min="7" max="7" width="10.33203125" bestFit="1" customWidth="1"/>
    <col min="8" max="8" width="20.21875" bestFit="1" customWidth="1"/>
  </cols>
  <sheetData>
    <row r="1" spans="1:8" x14ac:dyDescent="0.3">
      <c r="A1" s="2" t="s">
        <v>111</v>
      </c>
      <c r="B1" t="s">
        <v>1</v>
      </c>
      <c r="C1" t="s">
        <v>2</v>
      </c>
      <c r="D1" t="s">
        <v>113</v>
      </c>
      <c r="E1" t="s">
        <v>114</v>
      </c>
      <c r="F1" t="s">
        <v>116</v>
      </c>
      <c r="G1" t="s">
        <v>117</v>
      </c>
      <c r="H1" t="s">
        <v>118</v>
      </c>
    </row>
    <row r="2" spans="1:8" x14ac:dyDescent="0.3">
      <c r="A2" s="2">
        <v>45810</v>
      </c>
      <c r="B2" t="s">
        <v>120</v>
      </c>
      <c r="C2" t="s">
        <v>68</v>
      </c>
      <c r="D2">
        <v>30</v>
      </c>
      <c r="F2">
        <v>30.87</v>
      </c>
      <c r="G2" t="str">
        <f>IF(ISNUMBER(SEARCH("IR",B2)),"Transport",
IF(ISNUMBER(SEARCH("ARRIVA",B2)),"Transport",
IF(ISNUMBER(SEARCH("Zettle",B2)),"Transport",
IF(ISNUMBER(SEARCH("ULP",B2)),"Rent/Utilities",
IF(OR(ISNUMBER(SEARCH("NEW SEASON CASH",B2)),ISNUMBER(SEARCH("ALDI",B2)),ISNUMBER(SEARCH("B&amp;M",B2)),ISNUMBER(SEARCH("POUNDLAND",B2)),ISNUMBER(SEARCH("DAILY CATCH",B2)),ISNUMBER(SEARCH("ME2",B2)),ISNUMBER(SEARCH("Nisa",B2)),ISNUMBER(SEARCH("KENT CASH AND CARR",B2))),"Groceries",
IF(OR(ISNUMBER(SEARCH("KP",B2)),ISNUMBER(SEARCH("CUL",B2)),ISNUMBER(SEARCH("RETAIL A",B2))),"Income",
IF(OR(ISNUMBER(SEARCH("CN",B2)),ISNUMBER(SEARCH("OO",B2)),ISNUMBER(SEARCH("BS",B2))),"Personal",
IF(ISNUMBER(SEARCH("LEMFI",B2)),"Personal",
IF(ISNUMBER(SEARCH("H3G",B2)),"Utilities",
IF(ISNUMBER(SEARCH("MOOBOO",B2)),"Entertainment","Other"))))))))))</f>
        <v>Personal</v>
      </c>
      <c r="H2" t="str">
        <f t="shared" ref="H2:H37" si="0">IF(G2="Transport","Fare / Travel",
IF(G2="Rent/Utilities","Rent",
IF(G2="Groceries","Shopping",
IF(G2="Income","Salary / Reimbursement",
IF(G2="Personal",
IF(OR(ISNUMBER(SEARCH("LEMFI",B2)),"Exchange"),"Exchange","Friends &amp; Family"),
IF(G2="Utilities","Mobile / Data",
IF(G2="Entertainment","Fun / Treats","Other")))))))</f>
        <v>Friends &amp; Family</v>
      </c>
    </row>
    <row r="3" spans="1:8" x14ac:dyDescent="0.3">
      <c r="A3" s="2">
        <v>45810</v>
      </c>
      <c r="B3" t="s">
        <v>123</v>
      </c>
      <c r="C3" t="s">
        <v>72</v>
      </c>
      <c r="D3">
        <v>3</v>
      </c>
      <c r="F3">
        <v>33.869999999999997</v>
      </c>
      <c r="G3" t="str">
        <f t="shared" ref="G3:G37" si="1">IF(ISNUMBER(SEARCH("IR",B3)),"Transport",
IF(ISNUMBER(SEARCH("ARRIVA",B3)),"Transport",
IF(ISNUMBER(SEARCH("Zettle",B3)),"Transport",
IF(ISNUMBER(SEARCH("ULP",B3)),"Rent/Utilities",
IF(OR(ISNUMBER(SEARCH("NEW SEASON CASH",B3)),ISNUMBER(SEARCH("ALDI",B3)),ISNUMBER(SEARCH("B&amp;M",B3)),ISNUMBER(SEARCH("POUNDLAND",B3)),ISNUMBER(SEARCH("DAILY CATCH",B3)),ISNUMBER(SEARCH("ME2",B3)),ISNUMBER(SEARCH("Nisa",B3)),ISNUMBER(SEARCH("KENT CASH AND CARR",B3))),"Groceries",
IF(OR(ISNUMBER(SEARCH("KP",B3)),ISNUMBER(SEARCH("CUL",B3)),ISNUMBER(SEARCH("RETAIL A",B3))),"Income",
IF(OR(ISNUMBER(SEARCH("CN",B3)),ISNUMBER(SEARCH("OO",B3)),ISNUMBER(SEARCH("BS",B3))),"Personal",
IF(ISNUMBER(SEARCH("LEMFI",B3)),"Personal",
IF(ISNUMBER(SEARCH("H3G",B3)),"Utilities",
IF(ISNUMBER(SEARCH("MOOBOO",B3)),"Entertainment","Other"))))))))))</f>
        <v>Transport</v>
      </c>
      <c r="H3" t="str">
        <f t="shared" si="0"/>
        <v>Fare / Travel</v>
      </c>
    </row>
    <row r="4" spans="1:8" x14ac:dyDescent="0.3">
      <c r="A4" s="2">
        <v>45810</v>
      </c>
      <c r="B4" t="s">
        <v>123</v>
      </c>
      <c r="C4" t="s">
        <v>72</v>
      </c>
      <c r="D4">
        <v>5.7</v>
      </c>
      <c r="F4">
        <v>39.57</v>
      </c>
      <c r="G4" t="str">
        <f t="shared" si="1"/>
        <v>Transport</v>
      </c>
      <c r="H4" t="str">
        <f t="shared" si="0"/>
        <v>Fare / Travel</v>
      </c>
    </row>
    <row r="5" spans="1:8" x14ac:dyDescent="0.3">
      <c r="A5" s="2">
        <v>45810</v>
      </c>
      <c r="B5" t="s">
        <v>123</v>
      </c>
      <c r="C5" t="s">
        <v>72</v>
      </c>
      <c r="D5">
        <v>6</v>
      </c>
      <c r="F5">
        <v>45.57</v>
      </c>
      <c r="G5" t="str">
        <f t="shared" si="1"/>
        <v>Transport</v>
      </c>
      <c r="H5" t="str">
        <f t="shared" si="0"/>
        <v>Fare / Travel</v>
      </c>
    </row>
    <row r="6" spans="1:8" x14ac:dyDescent="0.3">
      <c r="A6" s="2">
        <v>45814</v>
      </c>
      <c r="B6" t="s">
        <v>124</v>
      </c>
      <c r="C6" t="s">
        <v>68</v>
      </c>
      <c r="D6">
        <v>233.37</v>
      </c>
      <c r="F6">
        <v>278.94</v>
      </c>
      <c r="G6" t="str">
        <f t="shared" si="1"/>
        <v>Income</v>
      </c>
      <c r="H6" t="str">
        <f t="shared" si="0"/>
        <v>Salary / Reimbursement</v>
      </c>
    </row>
    <row r="7" spans="1:8" x14ac:dyDescent="0.3">
      <c r="A7" s="2">
        <v>45817</v>
      </c>
      <c r="B7" t="s">
        <v>83</v>
      </c>
      <c r="C7" t="s">
        <v>14</v>
      </c>
      <c r="E7">
        <v>7</v>
      </c>
      <c r="F7">
        <v>271.94</v>
      </c>
      <c r="G7" t="str">
        <f t="shared" si="1"/>
        <v>Groceries</v>
      </c>
      <c r="H7" t="str">
        <f t="shared" si="0"/>
        <v>Shopping</v>
      </c>
    </row>
    <row r="8" spans="1:8" ht="16.2" customHeight="1" x14ac:dyDescent="0.3">
      <c r="A8" s="2">
        <v>45817</v>
      </c>
      <c r="B8" t="s">
        <v>87</v>
      </c>
      <c r="C8" t="s">
        <v>14</v>
      </c>
      <c r="E8">
        <v>7</v>
      </c>
      <c r="F8">
        <v>264.94</v>
      </c>
      <c r="G8" t="str">
        <f t="shared" si="1"/>
        <v>Groceries</v>
      </c>
      <c r="H8" t="str">
        <f t="shared" si="0"/>
        <v>Shopping</v>
      </c>
    </row>
    <row r="9" spans="1:8" x14ac:dyDescent="0.3">
      <c r="A9" s="2">
        <v>45817</v>
      </c>
      <c r="B9" t="s">
        <v>90</v>
      </c>
      <c r="C9" t="s">
        <v>14</v>
      </c>
      <c r="E9">
        <v>8</v>
      </c>
      <c r="F9">
        <v>256.94</v>
      </c>
      <c r="G9" t="str">
        <f t="shared" si="1"/>
        <v>Groceries</v>
      </c>
      <c r="H9" t="str">
        <f t="shared" si="0"/>
        <v>Shopping</v>
      </c>
    </row>
    <row r="10" spans="1:8" x14ac:dyDescent="0.3">
      <c r="A10" s="2">
        <v>45817</v>
      </c>
      <c r="B10" t="s">
        <v>13</v>
      </c>
      <c r="C10" t="s">
        <v>14</v>
      </c>
      <c r="E10">
        <v>9.67</v>
      </c>
      <c r="F10">
        <v>247.27</v>
      </c>
      <c r="G10" t="str">
        <f t="shared" si="1"/>
        <v>Groceries</v>
      </c>
      <c r="H10" t="str">
        <f t="shared" si="0"/>
        <v>Shopping</v>
      </c>
    </row>
    <row r="11" spans="1:8" x14ac:dyDescent="0.3">
      <c r="A11" s="2">
        <v>45817</v>
      </c>
      <c r="B11" t="s">
        <v>13</v>
      </c>
      <c r="C11" t="s">
        <v>14</v>
      </c>
      <c r="E11">
        <v>32.67</v>
      </c>
      <c r="F11">
        <v>214.6</v>
      </c>
      <c r="G11" t="str">
        <f t="shared" si="1"/>
        <v>Groceries</v>
      </c>
      <c r="H11" t="str">
        <f t="shared" si="0"/>
        <v>Shopping</v>
      </c>
    </row>
    <row r="12" spans="1:8" x14ac:dyDescent="0.3">
      <c r="A12" s="2">
        <v>45817</v>
      </c>
      <c r="B12" t="s">
        <v>97</v>
      </c>
      <c r="C12" t="s">
        <v>14</v>
      </c>
      <c r="E12">
        <v>16.7</v>
      </c>
      <c r="F12">
        <v>197.9</v>
      </c>
      <c r="G12" t="str">
        <f t="shared" si="1"/>
        <v>Groceries</v>
      </c>
      <c r="H12" t="str">
        <f t="shared" si="0"/>
        <v>Shopping</v>
      </c>
    </row>
    <row r="13" spans="1:8" x14ac:dyDescent="0.3">
      <c r="A13" s="2">
        <v>45817</v>
      </c>
      <c r="B13" t="s">
        <v>29</v>
      </c>
      <c r="C13" t="s">
        <v>14</v>
      </c>
      <c r="E13">
        <v>3</v>
      </c>
      <c r="F13">
        <v>194.9</v>
      </c>
      <c r="G13" t="str">
        <f t="shared" si="1"/>
        <v>Transport</v>
      </c>
      <c r="H13" t="str">
        <f t="shared" si="0"/>
        <v>Fare / Travel</v>
      </c>
    </row>
    <row r="14" spans="1:8" x14ac:dyDescent="0.3">
      <c r="A14" s="2">
        <v>45818</v>
      </c>
      <c r="B14" t="s">
        <v>123</v>
      </c>
      <c r="C14" t="s">
        <v>72</v>
      </c>
      <c r="D14">
        <v>6</v>
      </c>
      <c r="F14">
        <v>200.9</v>
      </c>
      <c r="G14" t="str">
        <f t="shared" si="1"/>
        <v>Transport</v>
      </c>
      <c r="H14" t="str">
        <f t="shared" si="0"/>
        <v>Fare / Travel</v>
      </c>
    </row>
    <row r="15" spans="1:8" x14ac:dyDescent="0.3">
      <c r="A15" s="2">
        <v>45821</v>
      </c>
      <c r="B15" t="s">
        <v>122</v>
      </c>
      <c r="C15" t="s">
        <v>72</v>
      </c>
      <c r="D15">
        <v>117.41</v>
      </c>
      <c r="F15">
        <v>318.31</v>
      </c>
      <c r="G15" t="str">
        <f t="shared" si="1"/>
        <v>Income</v>
      </c>
      <c r="H15" t="str">
        <f t="shared" si="0"/>
        <v>Salary / Reimbursement</v>
      </c>
    </row>
    <row r="16" spans="1:8" x14ac:dyDescent="0.3">
      <c r="A16" s="2">
        <v>45821</v>
      </c>
      <c r="B16" t="s">
        <v>126</v>
      </c>
      <c r="C16" t="s">
        <v>72</v>
      </c>
      <c r="D16">
        <v>420.06</v>
      </c>
      <c r="F16">
        <v>738.37</v>
      </c>
      <c r="G16" t="str">
        <f t="shared" si="1"/>
        <v>Income</v>
      </c>
      <c r="H16" t="str">
        <f t="shared" si="0"/>
        <v>Salary / Reimbursement</v>
      </c>
    </row>
    <row r="17" spans="1:8" x14ac:dyDescent="0.3">
      <c r="A17" s="2">
        <v>45824</v>
      </c>
      <c r="B17" t="s">
        <v>119</v>
      </c>
      <c r="C17" t="s">
        <v>7</v>
      </c>
      <c r="E17">
        <v>20</v>
      </c>
      <c r="F17">
        <v>718.37</v>
      </c>
      <c r="G17" t="str">
        <f t="shared" si="1"/>
        <v>Personal</v>
      </c>
      <c r="H17" t="str">
        <f t="shared" si="0"/>
        <v>Friends &amp; Family</v>
      </c>
    </row>
    <row r="18" spans="1:8" x14ac:dyDescent="0.3">
      <c r="A18" s="2">
        <v>45824</v>
      </c>
      <c r="B18" t="s">
        <v>4</v>
      </c>
      <c r="C18" t="s">
        <v>115</v>
      </c>
      <c r="D18">
        <v>20</v>
      </c>
      <c r="F18">
        <v>738.37</v>
      </c>
      <c r="G18" t="str">
        <f t="shared" si="1"/>
        <v>Personal</v>
      </c>
      <c r="H18" t="str">
        <f t="shared" si="0"/>
        <v>Exchange</v>
      </c>
    </row>
    <row r="19" spans="1:8" x14ac:dyDescent="0.3">
      <c r="A19" s="2">
        <v>45824</v>
      </c>
      <c r="B19" t="s">
        <v>119</v>
      </c>
      <c r="C19" t="s">
        <v>7</v>
      </c>
      <c r="E19">
        <v>20</v>
      </c>
      <c r="F19">
        <v>718.37</v>
      </c>
      <c r="G19" t="str">
        <f t="shared" si="1"/>
        <v>Personal</v>
      </c>
      <c r="H19" t="str">
        <f t="shared" si="0"/>
        <v>Friends &amp; Family</v>
      </c>
    </row>
    <row r="20" spans="1:8" x14ac:dyDescent="0.3">
      <c r="A20" s="2">
        <v>45824</v>
      </c>
      <c r="B20" t="s">
        <v>120</v>
      </c>
      <c r="C20" t="s">
        <v>7</v>
      </c>
      <c r="E20">
        <v>5</v>
      </c>
      <c r="F20">
        <v>713.37</v>
      </c>
      <c r="G20" t="str">
        <f t="shared" si="1"/>
        <v>Personal</v>
      </c>
      <c r="H20" t="str">
        <f t="shared" si="0"/>
        <v>Friends &amp; Family</v>
      </c>
    </row>
    <row r="21" spans="1:8" x14ac:dyDescent="0.3">
      <c r="A21" s="2">
        <v>45824</v>
      </c>
      <c r="B21" t="s">
        <v>13</v>
      </c>
      <c r="C21" t="s">
        <v>14</v>
      </c>
      <c r="E21">
        <v>7.48</v>
      </c>
      <c r="F21">
        <v>705.89</v>
      </c>
      <c r="G21" t="str">
        <f t="shared" si="1"/>
        <v>Groceries</v>
      </c>
      <c r="H21" t="str">
        <f t="shared" si="0"/>
        <v>Shopping</v>
      </c>
    </row>
    <row r="22" spans="1:8" x14ac:dyDescent="0.3">
      <c r="A22" s="2">
        <v>45824</v>
      </c>
      <c r="B22" t="s">
        <v>17</v>
      </c>
      <c r="C22" t="s">
        <v>14</v>
      </c>
      <c r="E22">
        <v>8.09</v>
      </c>
      <c r="F22">
        <v>697.8</v>
      </c>
      <c r="G22" t="str">
        <f t="shared" si="1"/>
        <v>Groceries</v>
      </c>
      <c r="H22" t="str">
        <f t="shared" si="0"/>
        <v>Shopping</v>
      </c>
    </row>
    <row r="23" spans="1:8" x14ac:dyDescent="0.3">
      <c r="A23" s="2">
        <v>45824</v>
      </c>
      <c r="B23" t="s">
        <v>20</v>
      </c>
      <c r="C23" t="s">
        <v>21</v>
      </c>
      <c r="E23">
        <v>23.99</v>
      </c>
      <c r="F23">
        <v>673.81</v>
      </c>
      <c r="G23" t="str">
        <f t="shared" si="1"/>
        <v>Utilities</v>
      </c>
      <c r="H23" t="str">
        <f t="shared" si="0"/>
        <v>Mobile / Data</v>
      </c>
    </row>
    <row r="24" spans="1:8" x14ac:dyDescent="0.3">
      <c r="A24" s="2">
        <v>45824</v>
      </c>
      <c r="B24" t="s">
        <v>216</v>
      </c>
      <c r="C24" t="s">
        <v>14</v>
      </c>
      <c r="E24">
        <v>1.25</v>
      </c>
      <c r="F24">
        <v>672.56</v>
      </c>
      <c r="G24" t="str">
        <f t="shared" si="1"/>
        <v>Groceries</v>
      </c>
      <c r="H24" t="str">
        <f t="shared" si="0"/>
        <v>Shopping</v>
      </c>
    </row>
    <row r="25" spans="1:8" x14ac:dyDescent="0.3">
      <c r="A25" s="2">
        <v>45827</v>
      </c>
      <c r="B25" t="s">
        <v>29</v>
      </c>
      <c r="C25" t="s">
        <v>14</v>
      </c>
      <c r="E25">
        <v>3</v>
      </c>
      <c r="F25">
        <v>669.56</v>
      </c>
      <c r="G25" t="str">
        <f t="shared" si="1"/>
        <v>Transport</v>
      </c>
      <c r="H25" t="str">
        <f t="shared" si="0"/>
        <v>Fare / Travel</v>
      </c>
    </row>
    <row r="26" spans="1:8" x14ac:dyDescent="0.3">
      <c r="A26" s="2">
        <v>45827</v>
      </c>
      <c r="B26" t="s">
        <v>29</v>
      </c>
      <c r="C26" t="s">
        <v>14</v>
      </c>
      <c r="E26">
        <v>3</v>
      </c>
      <c r="F26">
        <v>666.56</v>
      </c>
      <c r="G26" t="str">
        <f t="shared" si="1"/>
        <v>Transport</v>
      </c>
      <c r="H26" t="str">
        <f t="shared" si="0"/>
        <v>Fare / Travel</v>
      </c>
    </row>
    <row r="27" spans="1:8" x14ac:dyDescent="0.3">
      <c r="A27" s="2">
        <v>45828</v>
      </c>
      <c r="B27" t="s">
        <v>125</v>
      </c>
      <c r="C27" t="s">
        <v>7</v>
      </c>
      <c r="E27">
        <v>500</v>
      </c>
      <c r="F27">
        <v>166.56</v>
      </c>
      <c r="G27" t="str">
        <f t="shared" si="1"/>
        <v>Rent/Utilities</v>
      </c>
      <c r="H27" t="str">
        <f t="shared" si="0"/>
        <v>Rent</v>
      </c>
    </row>
    <row r="28" spans="1:8" x14ac:dyDescent="0.3">
      <c r="A28" s="2">
        <v>45828</v>
      </c>
      <c r="B28" t="s">
        <v>37</v>
      </c>
      <c r="C28" t="s">
        <v>14</v>
      </c>
      <c r="E28">
        <v>1.75</v>
      </c>
      <c r="F28">
        <v>164.81</v>
      </c>
      <c r="G28" t="str">
        <f t="shared" si="1"/>
        <v>Groceries</v>
      </c>
      <c r="H28" t="str">
        <f t="shared" si="0"/>
        <v>Shopping</v>
      </c>
    </row>
    <row r="29" spans="1:8" x14ac:dyDescent="0.3">
      <c r="A29" s="2">
        <v>45831</v>
      </c>
      <c r="B29" t="s">
        <v>13</v>
      </c>
      <c r="C29" t="s">
        <v>14</v>
      </c>
      <c r="E29">
        <v>49.42</v>
      </c>
      <c r="F29">
        <v>115.39</v>
      </c>
      <c r="G29" t="str">
        <f t="shared" si="1"/>
        <v>Groceries</v>
      </c>
      <c r="H29" t="str">
        <f t="shared" si="0"/>
        <v>Shopping</v>
      </c>
    </row>
    <row r="30" spans="1:8" x14ac:dyDescent="0.3">
      <c r="A30" s="2">
        <v>45834</v>
      </c>
      <c r="B30" t="s">
        <v>121</v>
      </c>
      <c r="C30" t="s">
        <v>7</v>
      </c>
      <c r="E30">
        <v>40</v>
      </c>
      <c r="F30">
        <v>75.39</v>
      </c>
      <c r="G30" t="str">
        <f t="shared" si="1"/>
        <v>Personal</v>
      </c>
      <c r="H30" t="str">
        <f t="shared" si="0"/>
        <v>Friends &amp; Family</v>
      </c>
    </row>
    <row r="31" spans="1:8" x14ac:dyDescent="0.3">
      <c r="A31" s="2">
        <v>45834</v>
      </c>
      <c r="B31" t="s">
        <v>49</v>
      </c>
      <c r="C31" t="s">
        <v>14</v>
      </c>
      <c r="E31">
        <v>6.39</v>
      </c>
      <c r="F31">
        <v>69</v>
      </c>
      <c r="G31" t="str">
        <f t="shared" si="1"/>
        <v>Groceries</v>
      </c>
      <c r="H31" t="str">
        <f t="shared" si="0"/>
        <v>Shopping</v>
      </c>
    </row>
    <row r="32" spans="1:8" x14ac:dyDescent="0.3">
      <c r="A32" s="2">
        <v>45834</v>
      </c>
      <c r="B32" t="s">
        <v>52</v>
      </c>
      <c r="C32" t="s">
        <v>14</v>
      </c>
      <c r="E32">
        <v>21.98</v>
      </c>
      <c r="F32">
        <v>47.02</v>
      </c>
      <c r="G32" t="str">
        <f t="shared" si="1"/>
        <v>Groceries</v>
      </c>
      <c r="H32" t="str">
        <f t="shared" si="0"/>
        <v>Shopping</v>
      </c>
    </row>
    <row r="33" spans="1:8" x14ac:dyDescent="0.3">
      <c r="A33" s="2">
        <v>45838</v>
      </c>
      <c r="B33" t="s">
        <v>29</v>
      </c>
      <c r="C33" t="s">
        <v>14</v>
      </c>
      <c r="E33">
        <v>3</v>
      </c>
      <c r="F33">
        <v>44.02</v>
      </c>
      <c r="G33" t="str">
        <f t="shared" si="1"/>
        <v>Transport</v>
      </c>
      <c r="H33" t="str">
        <f t="shared" si="0"/>
        <v>Fare / Travel</v>
      </c>
    </row>
    <row r="34" spans="1:8" x14ac:dyDescent="0.3">
      <c r="A34" s="2">
        <v>45838</v>
      </c>
      <c r="B34" t="s">
        <v>29</v>
      </c>
      <c r="C34" t="s">
        <v>14</v>
      </c>
      <c r="E34">
        <v>3</v>
      </c>
      <c r="F34">
        <v>41.02</v>
      </c>
      <c r="G34" t="str">
        <f t="shared" si="1"/>
        <v>Transport</v>
      </c>
      <c r="H34" t="str">
        <f t="shared" si="0"/>
        <v>Fare / Travel</v>
      </c>
    </row>
    <row r="35" spans="1:8" x14ac:dyDescent="0.3">
      <c r="A35" s="2">
        <v>45838</v>
      </c>
      <c r="B35" t="s">
        <v>169</v>
      </c>
      <c r="C35" t="s">
        <v>14</v>
      </c>
      <c r="E35">
        <v>6.5</v>
      </c>
      <c r="F35">
        <v>34.520000000000003</v>
      </c>
      <c r="G35" t="str">
        <f t="shared" si="1"/>
        <v>Transport</v>
      </c>
      <c r="H35" t="str">
        <f t="shared" si="0"/>
        <v>Fare / Travel</v>
      </c>
    </row>
    <row r="36" spans="1:8" x14ac:dyDescent="0.3">
      <c r="A36" s="2">
        <v>45838</v>
      </c>
      <c r="B36" t="s">
        <v>217</v>
      </c>
      <c r="C36" t="s">
        <v>14</v>
      </c>
      <c r="E36">
        <v>6</v>
      </c>
      <c r="F36">
        <v>28.52</v>
      </c>
      <c r="G36" t="str">
        <f t="shared" si="1"/>
        <v>Personal</v>
      </c>
      <c r="H36" t="str">
        <f t="shared" si="0"/>
        <v>Friends &amp; Family</v>
      </c>
    </row>
    <row r="37" spans="1:8" x14ac:dyDescent="0.3">
      <c r="A37" s="2">
        <v>45838</v>
      </c>
      <c r="B37" t="s">
        <v>13</v>
      </c>
      <c r="C37" t="s">
        <v>14</v>
      </c>
      <c r="E37">
        <v>8.98</v>
      </c>
      <c r="F37">
        <v>19.54</v>
      </c>
      <c r="G37" t="str">
        <f t="shared" si="1"/>
        <v>Groceries</v>
      </c>
      <c r="H37" t="str">
        <f t="shared" si="0"/>
        <v>Shopping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4D33-CFC8-4FB9-A837-F08A5443BFD5}">
  <dimension ref="A1:H64"/>
  <sheetViews>
    <sheetView workbookViewId="0">
      <selection activeCell="J7" sqref="J7"/>
    </sheetView>
  </sheetViews>
  <sheetFormatPr defaultRowHeight="14.4" x14ac:dyDescent="0.3"/>
  <cols>
    <col min="1" max="1" width="16.5546875" bestFit="1" customWidth="1"/>
    <col min="2" max="2" width="20.109375" bestFit="1" customWidth="1"/>
    <col min="3" max="3" width="14.77734375" bestFit="1" customWidth="1"/>
    <col min="4" max="5" width="16.5546875" bestFit="1" customWidth="1"/>
    <col min="6" max="6" width="11.44140625" bestFit="1" customWidth="1"/>
    <col min="7" max="7" width="18.6640625" bestFit="1" customWidth="1"/>
    <col min="8" max="8" width="20.21875" bestFit="1" customWidth="1"/>
  </cols>
  <sheetData>
    <row r="1" spans="1:8" x14ac:dyDescent="0.3">
      <c r="A1" t="s">
        <v>111</v>
      </c>
      <c r="B1" t="s">
        <v>1</v>
      </c>
      <c r="C1" t="s">
        <v>2</v>
      </c>
      <c r="D1" t="s">
        <v>113</v>
      </c>
      <c r="E1" t="s">
        <v>114</v>
      </c>
      <c r="F1" t="s">
        <v>116</v>
      </c>
      <c r="G1" t="s">
        <v>117</v>
      </c>
      <c r="H1" t="s">
        <v>118</v>
      </c>
    </row>
    <row r="2" spans="1:8" x14ac:dyDescent="0.3">
      <c r="A2" t="s">
        <v>127</v>
      </c>
      <c r="B2" t="s">
        <v>29</v>
      </c>
      <c r="C2" t="s">
        <v>14</v>
      </c>
      <c r="E2">
        <v>3</v>
      </c>
      <c r="F2">
        <v>16.54</v>
      </c>
      <c r="G2" t="str">
        <f>IF(OR(ISNUMBER(SEARCH("ARRIVA",B2)),ISNUMBER(SEARCH("Zettle",B2)),ISNUMBER(SEARCH("ENSIGN",B2)),ISNUMBER(SEARCH("IR",B2))),"Transport",
IF(OR(ISNUMBER(SEARCH("ALDI",B2)),ISNUMBER(SEARCH("NEW SEASON CASH",B2)),ISNUMBER(SEARCH("LONDON CASH CARRY",B2)),ISNUMBER(SEARCH("DAILY CATCH",B2)),ISNUMBER(SEARCH("ICELAND",B2)),ISNUMBER(SEARCH("KENT CASH",B2))),"Groceries",
IF(OR(ISNUMBER(SEARCH("CANCER RESEARCH",B2)),ISNUMBER(SEARCH("SAVERS",B2)),ISNUMBER(SEARCH("ZARA",B2)),ISNUMBER(SEARCH("MARKS&amp;SPENCER",B2)),ISNUMBER(SEARCH("PRIMARK",B2)),ISNUMBER(SEARCH("TIKTOK",B2)),ISNUMBER(SEARCH("EGO SHOES",B2)),ISNUMBER(SEARCH("BOOTS",B2))),"Essentials",
IF(OR(ISNUMBER(SEARCH("CUL",B2)),ISNUMBER(SEARCH("KP",B2)),ISNUMBER(SEARCH("RETAIL A",B2))),"Income",
IF(OR(ISNUMBER(SEARCH("BS",B2)),ISNUMBER(SEARCH("CN",B2)),ISNUMBER(SEARCH("EO",B2)),ISNUMBER(SEARCH("OO",B2)),ISNUMBER(SEARCH("TA",B2)),ISNUMBER(SEARCH("LEMFI",B2))),"Personal",
IF(ISNUMBER(SEARCH("ISTANBUL",B2)),"Entertainment",
IF(OR(ISNUMBER(SEARCH("UP",B2)),ISNUMBER(SEARCH("ULP",B2))),"Rent",
IF(OR(ISNUMBER(SEARCH("H3G",B2)),ISNUMBER(SEARCH("APPLE.COM/BILL",B2))),"Utilities",
"Other"))))))))</f>
        <v>Transport</v>
      </c>
      <c r="H2" t="str">
        <f>IF(G2="Transport","Fare / Travel",
IF(G2="Groceries","Shopping",
IF(G2="Essentials","Shopping",
IF(G2="Income","Salary / Reimbursement",
IF(G2="Personal","Friends &amp; Family",
IF(G2="Entertainment","Fun / Treats",
IF(G2="Rent","Rent",
IF(G2="Utilities","Mobile / Data",
"Other"))))))))</f>
        <v>Fare / Travel</v>
      </c>
    </row>
    <row r="3" spans="1:8" x14ac:dyDescent="0.3">
      <c r="A3" t="s">
        <v>127</v>
      </c>
      <c r="B3" t="s">
        <v>29</v>
      </c>
      <c r="C3" t="s">
        <v>14</v>
      </c>
      <c r="E3">
        <v>3</v>
      </c>
      <c r="F3">
        <v>13.54</v>
      </c>
      <c r="G3" t="str">
        <f t="shared" ref="G3:G64" si="0">IF(OR(ISNUMBER(SEARCH("ARRIVA",B3)),ISNUMBER(SEARCH("Zettle",B3)),ISNUMBER(SEARCH("ENSIGN",B3)),ISNUMBER(SEARCH("IR",B3))),"Transport",
IF(OR(ISNUMBER(SEARCH("ALDI",B3)),ISNUMBER(SEARCH("NEW SEASON CASH",B3)),ISNUMBER(SEARCH("LONDON CASH CARRY",B3)),ISNUMBER(SEARCH("DAILY CATCH",B3)),ISNUMBER(SEARCH("ICELAND",B3)),ISNUMBER(SEARCH("KENT CASH",B3))),"Groceries",
IF(OR(ISNUMBER(SEARCH("CANCER RESEARCH",B3)),ISNUMBER(SEARCH("SAVERS",B3)),ISNUMBER(SEARCH("ZARA",B3)),ISNUMBER(SEARCH("MARKS&amp;SPENCER",B3)),ISNUMBER(SEARCH("PRIMARK",B3)),ISNUMBER(SEARCH("TIKTOK",B3)),ISNUMBER(SEARCH("EGO SHOES",B3)),ISNUMBER(SEARCH("BOOTS",B3))),"Essentials",
IF(OR(ISNUMBER(SEARCH("CUL",B3)),ISNUMBER(SEARCH("KP",B3)),ISNUMBER(SEARCH("RETAIL A",B3))),"Income",
IF(OR(ISNUMBER(SEARCH("BS",B3)),ISNUMBER(SEARCH("CN",B3)),ISNUMBER(SEARCH("EO",B3)),ISNUMBER(SEARCH("OO",B3)),ISNUMBER(SEARCH("TA",B3)),ISNUMBER(SEARCH("LEMFI",B3))),"Personal",
IF(ISNUMBER(SEARCH("ISTANBUL",B3)),"Entertainment",
IF(OR(ISNUMBER(SEARCH("UP",B3)),ISNUMBER(SEARCH("ULP",B3))),"Rent",
IF(OR(ISNUMBER(SEARCH("H3G",B3)),ISNUMBER(SEARCH("APPLE.COM/BILL",B3))),"Utilities",
"Other"))))))))</f>
        <v>Transport</v>
      </c>
      <c r="H3" t="str">
        <f t="shared" ref="H3:H64" si="1">IF(G3="Transport","Fare / Travel",
IF(G3="Groceries","Shopping",
IF(G3="Essentials","Shopping",
IF(G3="Income","Salary / Reimbursement",
IF(G3="Personal","Friends &amp; Family",
IF(G3="Entertainment","Fun / Treats",
IF(G3="Rent","Rent",
IF(G3="Utilities","Mobile / Data",
"Other"))))))))</f>
        <v>Fare / Travel</v>
      </c>
    </row>
    <row r="4" spans="1:8" x14ac:dyDescent="0.3">
      <c r="A4" t="s">
        <v>127</v>
      </c>
      <c r="B4" t="s">
        <v>169</v>
      </c>
      <c r="C4" t="s">
        <v>14</v>
      </c>
      <c r="E4">
        <v>6.5</v>
      </c>
      <c r="F4">
        <v>7.04</v>
      </c>
      <c r="G4" t="str">
        <f t="shared" si="0"/>
        <v>Transport</v>
      </c>
      <c r="H4" t="str">
        <f t="shared" si="1"/>
        <v>Fare / Travel</v>
      </c>
    </row>
    <row r="5" spans="1:8" x14ac:dyDescent="0.3">
      <c r="A5" t="s">
        <v>128</v>
      </c>
      <c r="B5" t="s">
        <v>124</v>
      </c>
      <c r="C5" t="s">
        <v>68</v>
      </c>
      <c r="D5">
        <v>165.18</v>
      </c>
      <c r="F5">
        <v>172.22</v>
      </c>
      <c r="G5" t="str">
        <f t="shared" si="0"/>
        <v>Income</v>
      </c>
      <c r="H5" t="str">
        <f t="shared" si="1"/>
        <v>Salary / Reimbursement</v>
      </c>
    </row>
    <row r="6" spans="1:8" x14ac:dyDescent="0.3">
      <c r="A6" t="s">
        <v>128</v>
      </c>
      <c r="B6" t="s">
        <v>29</v>
      </c>
      <c r="C6" t="s">
        <v>14</v>
      </c>
      <c r="E6">
        <v>0.5</v>
      </c>
      <c r="F6">
        <v>171.72</v>
      </c>
      <c r="G6" t="str">
        <f t="shared" si="0"/>
        <v>Transport</v>
      </c>
      <c r="H6" t="str">
        <f t="shared" si="1"/>
        <v>Fare / Travel</v>
      </c>
    </row>
    <row r="7" spans="1:8" x14ac:dyDescent="0.3">
      <c r="A7" t="s">
        <v>129</v>
      </c>
      <c r="B7" t="s">
        <v>173</v>
      </c>
      <c r="C7" t="s">
        <v>25</v>
      </c>
      <c r="E7">
        <v>6.33</v>
      </c>
      <c r="F7">
        <v>165.39</v>
      </c>
      <c r="G7" t="str">
        <f t="shared" si="0"/>
        <v>Groceries</v>
      </c>
      <c r="H7" t="str">
        <f t="shared" si="1"/>
        <v>Shopping</v>
      </c>
    </row>
    <row r="8" spans="1:8" x14ac:dyDescent="0.3">
      <c r="A8" t="s">
        <v>130</v>
      </c>
      <c r="B8" t="s">
        <v>169</v>
      </c>
      <c r="C8" t="s">
        <v>14</v>
      </c>
      <c r="E8">
        <v>6.5</v>
      </c>
      <c r="F8">
        <v>158.88999999999999</v>
      </c>
      <c r="G8" t="str">
        <f t="shared" si="0"/>
        <v>Transport</v>
      </c>
      <c r="H8" t="str">
        <f t="shared" si="1"/>
        <v>Fare / Travel</v>
      </c>
    </row>
    <row r="9" spans="1:8" x14ac:dyDescent="0.3">
      <c r="A9" t="s">
        <v>130</v>
      </c>
      <c r="B9" t="s">
        <v>97</v>
      </c>
      <c r="C9" t="s">
        <v>14</v>
      </c>
      <c r="E9">
        <v>2.19</v>
      </c>
      <c r="F9">
        <v>156.69999999999999</v>
      </c>
      <c r="G9" t="str">
        <f t="shared" si="0"/>
        <v>Groceries</v>
      </c>
      <c r="H9" t="str">
        <f t="shared" si="1"/>
        <v>Shopping</v>
      </c>
    </row>
    <row r="10" spans="1:8" x14ac:dyDescent="0.3">
      <c r="A10" t="s">
        <v>130</v>
      </c>
      <c r="B10" t="s">
        <v>13</v>
      </c>
      <c r="C10" t="s">
        <v>14</v>
      </c>
      <c r="E10">
        <v>2.99</v>
      </c>
      <c r="F10">
        <v>153.71</v>
      </c>
      <c r="G10" t="str">
        <f t="shared" si="0"/>
        <v>Groceries</v>
      </c>
      <c r="H10" t="str">
        <f t="shared" si="1"/>
        <v>Shopping</v>
      </c>
    </row>
    <row r="11" spans="1:8" x14ac:dyDescent="0.3">
      <c r="A11" t="s">
        <v>130</v>
      </c>
      <c r="B11" t="s">
        <v>131</v>
      </c>
      <c r="C11" t="s">
        <v>14</v>
      </c>
      <c r="D11" t="s">
        <v>0</v>
      </c>
      <c r="E11">
        <v>5</v>
      </c>
      <c r="F11">
        <v>148.71</v>
      </c>
      <c r="G11" t="str">
        <f t="shared" si="0"/>
        <v>Essentials</v>
      </c>
      <c r="H11" t="str">
        <f t="shared" si="1"/>
        <v>Shopping</v>
      </c>
    </row>
    <row r="12" spans="1:8" x14ac:dyDescent="0.3">
      <c r="A12" t="s">
        <v>130</v>
      </c>
      <c r="B12" t="s">
        <v>132</v>
      </c>
      <c r="C12" t="s">
        <v>14</v>
      </c>
      <c r="E12">
        <v>18.78</v>
      </c>
      <c r="F12">
        <v>129.93</v>
      </c>
      <c r="G12" t="str">
        <f t="shared" si="0"/>
        <v>Essentials</v>
      </c>
      <c r="H12" t="str">
        <f t="shared" si="1"/>
        <v>Shopping</v>
      </c>
    </row>
    <row r="13" spans="1:8" x14ac:dyDescent="0.3">
      <c r="A13" t="s">
        <v>133</v>
      </c>
      <c r="B13" t="s">
        <v>121</v>
      </c>
      <c r="C13" t="s">
        <v>45</v>
      </c>
      <c r="E13">
        <v>25</v>
      </c>
      <c r="F13">
        <v>104.93</v>
      </c>
      <c r="G13" t="str">
        <f t="shared" si="0"/>
        <v>Personal</v>
      </c>
      <c r="H13" t="str">
        <f t="shared" si="1"/>
        <v>Friends &amp; Family</v>
      </c>
    </row>
    <row r="14" spans="1:8" x14ac:dyDescent="0.3">
      <c r="A14" t="s">
        <v>134</v>
      </c>
      <c r="B14" t="s">
        <v>135</v>
      </c>
      <c r="C14" t="s">
        <v>14</v>
      </c>
      <c r="E14">
        <v>12.5</v>
      </c>
      <c r="F14">
        <v>92.43</v>
      </c>
      <c r="G14" t="str">
        <f t="shared" si="0"/>
        <v>Personal</v>
      </c>
      <c r="H14" t="str">
        <f t="shared" si="1"/>
        <v>Friends &amp; Family</v>
      </c>
    </row>
    <row r="15" spans="1:8" x14ac:dyDescent="0.3">
      <c r="A15" t="s">
        <v>136</v>
      </c>
      <c r="B15" t="s">
        <v>170</v>
      </c>
      <c r="C15" t="s">
        <v>68</v>
      </c>
      <c r="D15">
        <v>20</v>
      </c>
      <c r="F15">
        <v>112.43</v>
      </c>
      <c r="G15" t="str">
        <f t="shared" si="0"/>
        <v>Personal</v>
      </c>
      <c r="H15" t="str">
        <f t="shared" si="1"/>
        <v>Friends &amp; Family</v>
      </c>
    </row>
    <row r="16" spans="1:8" x14ac:dyDescent="0.3">
      <c r="A16" t="s">
        <v>136</v>
      </c>
      <c r="B16" t="s">
        <v>29</v>
      </c>
      <c r="C16" t="s">
        <v>14</v>
      </c>
      <c r="E16">
        <v>3</v>
      </c>
      <c r="F16">
        <v>109.43</v>
      </c>
      <c r="G16" t="str">
        <f t="shared" si="0"/>
        <v>Transport</v>
      </c>
      <c r="H16" t="str">
        <f t="shared" si="1"/>
        <v>Fare / Travel</v>
      </c>
    </row>
    <row r="17" spans="1:8" x14ac:dyDescent="0.3">
      <c r="A17" t="s">
        <v>136</v>
      </c>
      <c r="B17" t="s">
        <v>29</v>
      </c>
      <c r="C17" t="s">
        <v>14</v>
      </c>
      <c r="E17">
        <v>3</v>
      </c>
      <c r="F17">
        <v>106.43</v>
      </c>
      <c r="G17" t="str">
        <f t="shared" si="0"/>
        <v>Transport</v>
      </c>
      <c r="H17" t="str">
        <f t="shared" si="1"/>
        <v>Fare / Travel</v>
      </c>
    </row>
    <row r="18" spans="1:8" x14ac:dyDescent="0.3">
      <c r="A18" t="s">
        <v>137</v>
      </c>
      <c r="B18" t="s">
        <v>170</v>
      </c>
      <c r="C18" t="s">
        <v>68</v>
      </c>
      <c r="D18">
        <v>10</v>
      </c>
      <c r="F18">
        <v>116.43</v>
      </c>
      <c r="G18" t="str">
        <f t="shared" si="0"/>
        <v>Personal</v>
      </c>
      <c r="H18" t="str">
        <f t="shared" si="1"/>
        <v>Friends &amp; Family</v>
      </c>
    </row>
    <row r="19" spans="1:8" x14ac:dyDescent="0.3">
      <c r="A19" t="s">
        <v>138</v>
      </c>
      <c r="B19" t="s">
        <v>122</v>
      </c>
      <c r="C19" t="s">
        <v>72</v>
      </c>
      <c r="D19">
        <v>168.6</v>
      </c>
      <c r="F19">
        <v>285.02999999999997</v>
      </c>
      <c r="G19" t="str">
        <f t="shared" si="0"/>
        <v>Income</v>
      </c>
      <c r="H19" t="str">
        <f t="shared" si="1"/>
        <v>Salary / Reimbursement</v>
      </c>
    </row>
    <row r="20" spans="1:8" x14ac:dyDescent="0.3">
      <c r="A20" t="s">
        <v>138</v>
      </c>
      <c r="B20" t="s">
        <v>124</v>
      </c>
      <c r="C20" t="s">
        <v>68</v>
      </c>
      <c r="D20">
        <v>233.37</v>
      </c>
      <c r="F20">
        <v>518.4</v>
      </c>
      <c r="G20" t="str">
        <f t="shared" si="0"/>
        <v>Income</v>
      </c>
      <c r="H20" t="str">
        <f t="shared" si="1"/>
        <v>Salary / Reimbursement</v>
      </c>
    </row>
    <row r="21" spans="1:8" x14ac:dyDescent="0.3">
      <c r="A21" t="s">
        <v>138</v>
      </c>
      <c r="B21" t="s">
        <v>119</v>
      </c>
      <c r="C21" t="s">
        <v>7</v>
      </c>
      <c r="E21">
        <v>70</v>
      </c>
      <c r="F21">
        <v>448.4</v>
      </c>
      <c r="G21" t="str">
        <f t="shared" si="0"/>
        <v>Personal</v>
      </c>
      <c r="H21" t="str">
        <f t="shared" si="1"/>
        <v>Friends &amp; Family</v>
      </c>
    </row>
    <row r="22" spans="1:8" x14ac:dyDescent="0.3">
      <c r="A22" t="s">
        <v>138</v>
      </c>
      <c r="B22" t="s">
        <v>171</v>
      </c>
      <c r="C22" t="s">
        <v>7</v>
      </c>
      <c r="E22">
        <v>284.69</v>
      </c>
      <c r="F22">
        <v>163.71</v>
      </c>
      <c r="G22" t="str">
        <f t="shared" si="0"/>
        <v>Personal</v>
      </c>
      <c r="H22" t="str">
        <f t="shared" si="1"/>
        <v>Friends &amp; Family</v>
      </c>
    </row>
    <row r="23" spans="1:8" x14ac:dyDescent="0.3">
      <c r="A23" t="s">
        <v>139</v>
      </c>
      <c r="B23" t="s">
        <v>120</v>
      </c>
      <c r="C23" t="s">
        <v>7</v>
      </c>
      <c r="E23">
        <v>50</v>
      </c>
      <c r="F23">
        <v>113.71</v>
      </c>
      <c r="G23" t="str">
        <f t="shared" si="0"/>
        <v>Personal</v>
      </c>
      <c r="H23" t="str">
        <f t="shared" si="1"/>
        <v>Friends &amp; Family</v>
      </c>
    </row>
    <row r="24" spans="1:8" x14ac:dyDescent="0.3">
      <c r="A24" t="s">
        <v>140</v>
      </c>
      <c r="B24" t="s">
        <v>120</v>
      </c>
      <c r="C24" t="s">
        <v>7</v>
      </c>
      <c r="E24">
        <v>20</v>
      </c>
      <c r="F24">
        <v>93.71</v>
      </c>
      <c r="G24" t="str">
        <f t="shared" si="0"/>
        <v>Personal</v>
      </c>
      <c r="H24" t="str">
        <f t="shared" si="1"/>
        <v>Friends &amp; Family</v>
      </c>
    </row>
    <row r="25" spans="1:8" x14ac:dyDescent="0.3">
      <c r="A25" t="s">
        <v>139</v>
      </c>
      <c r="B25" t="s">
        <v>29</v>
      </c>
      <c r="C25" t="s">
        <v>14</v>
      </c>
      <c r="E25">
        <v>3</v>
      </c>
      <c r="F25">
        <v>90.71</v>
      </c>
      <c r="G25" t="str">
        <f t="shared" si="0"/>
        <v>Transport</v>
      </c>
      <c r="H25" t="str">
        <f t="shared" si="1"/>
        <v>Fare / Travel</v>
      </c>
    </row>
    <row r="26" spans="1:8" x14ac:dyDescent="0.3">
      <c r="A26" t="s">
        <v>139</v>
      </c>
      <c r="B26" t="s">
        <v>120</v>
      </c>
      <c r="C26" t="s">
        <v>7</v>
      </c>
      <c r="E26">
        <v>10</v>
      </c>
      <c r="F26">
        <v>80.709999999999994</v>
      </c>
      <c r="G26" t="str">
        <f t="shared" si="0"/>
        <v>Personal</v>
      </c>
      <c r="H26" t="str">
        <f t="shared" si="1"/>
        <v>Friends &amp; Family</v>
      </c>
    </row>
    <row r="27" spans="1:8" x14ac:dyDescent="0.3">
      <c r="A27" t="s">
        <v>141</v>
      </c>
      <c r="B27" t="s">
        <v>126</v>
      </c>
      <c r="C27" t="s">
        <v>72</v>
      </c>
      <c r="D27">
        <v>467</v>
      </c>
      <c r="F27">
        <v>547.71</v>
      </c>
      <c r="G27" t="str">
        <f t="shared" si="0"/>
        <v>Income</v>
      </c>
      <c r="H27" t="str">
        <f t="shared" si="1"/>
        <v>Salary / Reimbursement</v>
      </c>
    </row>
    <row r="28" spans="1:8" x14ac:dyDescent="0.3">
      <c r="A28" t="s">
        <v>142</v>
      </c>
      <c r="B28" t="s">
        <v>20</v>
      </c>
      <c r="C28" t="s">
        <v>21</v>
      </c>
      <c r="E28">
        <v>20.65</v>
      </c>
      <c r="F28">
        <v>527.05999999999995</v>
      </c>
      <c r="G28" t="str">
        <f t="shared" si="0"/>
        <v>Utilities</v>
      </c>
      <c r="H28" t="str">
        <f t="shared" si="1"/>
        <v>Mobile / Data</v>
      </c>
    </row>
    <row r="29" spans="1:8" x14ac:dyDescent="0.3">
      <c r="A29" t="s">
        <v>143</v>
      </c>
      <c r="B29" t="s">
        <v>123</v>
      </c>
      <c r="C29" t="s">
        <v>72</v>
      </c>
      <c r="D29">
        <v>3</v>
      </c>
      <c r="F29">
        <v>530.05999999999995</v>
      </c>
      <c r="G29" t="str">
        <f t="shared" si="0"/>
        <v>Transport</v>
      </c>
      <c r="H29" t="str">
        <f t="shared" si="1"/>
        <v>Fare / Travel</v>
      </c>
    </row>
    <row r="30" spans="1:8" x14ac:dyDescent="0.3">
      <c r="A30" t="s">
        <v>144</v>
      </c>
      <c r="B30" t="s">
        <v>123</v>
      </c>
      <c r="C30" t="s">
        <v>72</v>
      </c>
      <c r="D30">
        <v>6</v>
      </c>
      <c r="F30">
        <v>536.05999999999995</v>
      </c>
      <c r="G30" t="str">
        <f t="shared" si="0"/>
        <v>Transport</v>
      </c>
      <c r="H30" t="str">
        <f t="shared" si="1"/>
        <v>Fare / Travel</v>
      </c>
    </row>
    <row r="31" spans="1:8" x14ac:dyDescent="0.3">
      <c r="A31" t="s">
        <v>143</v>
      </c>
      <c r="B31" t="s">
        <v>120</v>
      </c>
      <c r="C31" t="s">
        <v>7</v>
      </c>
      <c r="E31">
        <v>2</v>
      </c>
      <c r="F31">
        <v>534.05999999999995</v>
      </c>
      <c r="G31" t="str">
        <f t="shared" si="0"/>
        <v>Personal</v>
      </c>
      <c r="H31" t="str">
        <f t="shared" si="1"/>
        <v>Friends &amp; Family</v>
      </c>
    </row>
    <row r="32" spans="1:8" x14ac:dyDescent="0.3">
      <c r="A32" t="s">
        <v>143</v>
      </c>
      <c r="B32" t="s">
        <v>120</v>
      </c>
      <c r="C32" t="s">
        <v>7</v>
      </c>
      <c r="E32">
        <v>65.599999999999994</v>
      </c>
      <c r="F32">
        <v>468.46</v>
      </c>
      <c r="G32" t="str">
        <f t="shared" si="0"/>
        <v>Personal</v>
      </c>
      <c r="H32" t="str">
        <f t="shared" si="1"/>
        <v>Friends &amp; Family</v>
      </c>
    </row>
    <row r="33" spans="1:8" x14ac:dyDescent="0.3">
      <c r="A33" t="s">
        <v>143</v>
      </c>
      <c r="B33" t="s">
        <v>145</v>
      </c>
      <c r="C33" t="s">
        <v>14</v>
      </c>
      <c r="E33">
        <v>16.95</v>
      </c>
      <c r="F33">
        <v>451.51</v>
      </c>
      <c r="G33" t="str">
        <f t="shared" si="0"/>
        <v>Essentials</v>
      </c>
      <c r="H33" t="str">
        <f t="shared" si="1"/>
        <v>Shopping</v>
      </c>
    </row>
    <row r="34" spans="1:8" x14ac:dyDescent="0.3">
      <c r="A34" t="s">
        <v>146</v>
      </c>
      <c r="B34" t="s">
        <v>120</v>
      </c>
      <c r="C34" t="s">
        <v>7</v>
      </c>
      <c r="E34">
        <v>2</v>
      </c>
      <c r="F34">
        <v>449.51</v>
      </c>
      <c r="G34" t="str">
        <f t="shared" si="0"/>
        <v>Personal</v>
      </c>
      <c r="H34" t="str">
        <f t="shared" si="1"/>
        <v>Friends &amp; Family</v>
      </c>
    </row>
    <row r="35" spans="1:8" x14ac:dyDescent="0.3">
      <c r="A35" t="s">
        <v>147</v>
      </c>
      <c r="B35" t="s">
        <v>148</v>
      </c>
      <c r="C35" t="s">
        <v>14</v>
      </c>
      <c r="E35">
        <v>24.47</v>
      </c>
      <c r="F35">
        <v>425.04</v>
      </c>
      <c r="G35" t="str">
        <f t="shared" si="0"/>
        <v>Essentials</v>
      </c>
      <c r="H35" t="str">
        <f t="shared" si="1"/>
        <v>Shopping</v>
      </c>
    </row>
    <row r="36" spans="1:8" x14ac:dyDescent="0.3">
      <c r="A36" t="s">
        <v>149</v>
      </c>
      <c r="B36" t="s">
        <v>120</v>
      </c>
      <c r="C36" t="s">
        <v>172</v>
      </c>
      <c r="D36">
        <v>200</v>
      </c>
      <c r="F36">
        <v>625.04</v>
      </c>
      <c r="G36" t="str">
        <f t="shared" si="0"/>
        <v>Personal</v>
      </c>
      <c r="H36" t="str">
        <f t="shared" si="1"/>
        <v>Friends &amp; Family</v>
      </c>
    </row>
    <row r="37" spans="1:8" x14ac:dyDescent="0.3">
      <c r="A37" t="s">
        <v>147</v>
      </c>
      <c r="B37" t="s">
        <v>125</v>
      </c>
      <c r="C37" t="s">
        <v>7</v>
      </c>
      <c r="D37" t="s">
        <v>0</v>
      </c>
      <c r="E37">
        <v>500</v>
      </c>
      <c r="F37">
        <v>125.04</v>
      </c>
      <c r="G37" t="str">
        <f t="shared" si="0"/>
        <v>Rent</v>
      </c>
      <c r="H37" t="str">
        <f t="shared" si="1"/>
        <v>Rent</v>
      </c>
    </row>
    <row r="38" spans="1:8" x14ac:dyDescent="0.3">
      <c r="A38" t="s">
        <v>147</v>
      </c>
      <c r="B38" t="s">
        <v>150</v>
      </c>
      <c r="C38" t="s">
        <v>14</v>
      </c>
      <c r="E38">
        <v>11.99</v>
      </c>
      <c r="F38">
        <v>113.05</v>
      </c>
      <c r="G38" t="str">
        <f t="shared" si="0"/>
        <v>Essentials</v>
      </c>
      <c r="H38" t="str">
        <f t="shared" si="1"/>
        <v>Shopping</v>
      </c>
    </row>
    <row r="39" spans="1:8" x14ac:dyDescent="0.3">
      <c r="A39" t="s">
        <v>147</v>
      </c>
      <c r="B39" t="s">
        <v>151</v>
      </c>
      <c r="C39" t="s">
        <v>14</v>
      </c>
      <c r="E39">
        <v>25.1</v>
      </c>
      <c r="F39">
        <v>87.95</v>
      </c>
      <c r="G39" t="str">
        <f t="shared" si="0"/>
        <v>Essentials</v>
      </c>
      <c r="H39" t="str">
        <f t="shared" si="1"/>
        <v>Shopping</v>
      </c>
    </row>
    <row r="40" spans="1:8" x14ac:dyDescent="0.3">
      <c r="A40" t="s">
        <v>149</v>
      </c>
      <c r="B40" t="s">
        <v>152</v>
      </c>
      <c r="C40" t="s">
        <v>14</v>
      </c>
      <c r="E40">
        <v>3.99</v>
      </c>
      <c r="F40">
        <v>83.96</v>
      </c>
      <c r="G40" t="str">
        <f t="shared" si="0"/>
        <v>Groceries</v>
      </c>
      <c r="H40" t="str">
        <f t="shared" si="1"/>
        <v>Shopping</v>
      </c>
    </row>
    <row r="41" spans="1:8" x14ac:dyDescent="0.3">
      <c r="A41" t="s">
        <v>147</v>
      </c>
      <c r="B41" t="s">
        <v>13</v>
      </c>
      <c r="C41" t="s">
        <v>14</v>
      </c>
      <c r="E41">
        <v>4.78</v>
      </c>
      <c r="F41">
        <v>79.180000000000007</v>
      </c>
      <c r="G41" t="str">
        <f t="shared" si="0"/>
        <v>Groceries</v>
      </c>
      <c r="H41" t="str">
        <f t="shared" si="1"/>
        <v>Shopping</v>
      </c>
    </row>
    <row r="42" spans="1:8" x14ac:dyDescent="0.3">
      <c r="A42" t="s">
        <v>147</v>
      </c>
      <c r="B42" t="s">
        <v>90</v>
      </c>
      <c r="C42" t="s">
        <v>14</v>
      </c>
      <c r="E42">
        <v>7</v>
      </c>
      <c r="F42">
        <v>72.180000000000007</v>
      </c>
      <c r="G42" t="str">
        <f t="shared" si="0"/>
        <v>Groceries</v>
      </c>
      <c r="H42" t="str">
        <f t="shared" si="1"/>
        <v>Shopping</v>
      </c>
    </row>
    <row r="43" spans="1:8" x14ac:dyDescent="0.3">
      <c r="A43" t="s">
        <v>147</v>
      </c>
      <c r="B43" t="s">
        <v>97</v>
      </c>
      <c r="C43" t="s">
        <v>14</v>
      </c>
      <c r="E43">
        <v>20.5</v>
      </c>
      <c r="F43">
        <v>51.68</v>
      </c>
      <c r="G43" t="str">
        <f t="shared" si="0"/>
        <v>Groceries</v>
      </c>
      <c r="H43" t="str">
        <f t="shared" si="1"/>
        <v>Shopping</v>
      </c>
    </row>
    <row r="44" spans="1:8" x14ac:dyDescent="0.3">
      <c r="A44" t="s">
        <v>147</v>
      </c>
      <c r="B44" t="s">
        <v>13</v>
      </c>
      <c r="C44" t="s">
        <v>14</v>
      </c>
      <c r="E44">
        <v>33.5</v>
      </c>
      <c r="F44">
        <v>18.18</v>
      </c>
      <c r="G44" t="str">
        <f t="shared" si="0"/>
        <v>Groceries</v>
      </c>
      <c r="H44" t="str">
        <f t="shared" si="1"/>
        <v>Shopping</v>
      </c>
    </row>
    <row r="45" spans="1:8" x14ac:dyDescent="0.3">
      <c r="A45" t="s">
        <v>153</v>
      </c>
      <c r="B45" t="s">
        <v>29</v>
      </c>
      <c r="C45" t="s">
        <v>14</v>
      </c>
      <c r="E45">
        <v>3</v>
      </c>
      <c r="F45">
        <v>15.18</v>
      </c>
      <c r="G45" t="str">
        <f t="shared" si="0"/>
        <v>Transport</v>
      </c>
      <c r="H45" t="str">
        <f t="shared" si="1"/>
        <v>Fare / Travel</v>
      </c>
    </row>
    <row r="46" spans="1:8" x14ac:dyDescent="0.3">
      <c r="A46" t="s">
        <v>154</v>
      </c>
      <c r="B46" t="s">
        <v>100</v>
      </c>
      <c r="C46" t="s">
        <v>14</v>
      </c>
      <c r="E46">
        <v>3</v>
      </c>
      <c r="F46">
        <v>12.18</v>
      </c>
      <c r="G46" t="str">
        <f t="shared" si="0"/>
        <v>Transport</v>
      </c>
      <c r="H46" t="str">
        <f t="shared" si="1"/>
        <v>Fare / Travel</v>
      </c>
    </row>
    <row r="47" spans="1:8" x14ac:dyDescent="0.3">
      <c r="A47" t="s">
        <v>155</v>
      </c>
      <c r="B47" t="s">
        <v>123</v>
      </c>
      <c r="C47" t="s">
        <v>72</v>
      </c>
      <c r="D47">
        <v>3</v>
      </c>
      <c r="F47">
        <v>15.18</v>
      </c>
      <c r="G47" t="str">
        <f t="shared" si="0"/>
        <v>Transport</v>
      </c>
      <c r="H47" t="str">
        <f t="shared" si="1"/>
        <v>Fare / Travel</v>
      </c>
    </row>
    <row r="48" spans="1:8" x14ac:dyDescent="0.3">
      <c r="A48" t="s">
        <v>155</v>
      </c>
      <c r="B48" t="s">
        <v>123</v>
      </c>
      <c r="C48" t="s">
        <v>72</v>
      </c>
      <c r="D48">
        <v>6</v>
      </c>
      <c r="F48">
        <v>21.18</v>
      </c>
      <c r="G48" t="str">
        <f t="shared" si="0"/>
        <v>Transport</v>
      </c>
      <c r="H48" t="str">
        <f t="shared" si="1"/>
        <v>Fare / Travel</v>
      </c>
    </row>
    <row r="49" spans="1:8" x14ac:dyDescent="0.3">
      <c r="A49" t="s">
        <v>155</v>
      </c>
      <c r="B49" t="s">
        <v>123</v>
      </c>
      <c r="C49" t="s">
        <v>72</v>
      </c>
      <c r="D49">
        <v>6</v>
      </c>
      <c r="F49">
        <v>27.18</v>
      </c>
      <c r="G49" t="str">
        <f t="shared" si="0"/>
        <v>Transport</v>
      </c>
      <c r="H49" t="str">
        <f t="shared" si="1"/>
        <v>Fare / Travel</v>
      </c>
    </row>
    <row r="50" spans="1:8" x14ac:dyDescent="0.3">
      <c r="A50" t="s">
        <v>155</v>
      </c>
      <c r="B50" t="s">
        <v>156</v>
      </c>
      <c r="C50" t="s">
        <v>14</v>
      </c>
      <c r="E50">
        <v>4.8</v>
      </c>
      <c r="F50">
        <v>22.38</v>
      </c>
      <c r="G50" t="str">
        <f t="shared" si="0"/>
        <v>Essentials</v>
      </c>
      <c r="H50" t="str">
        <f t="shared" si="1"/>
        <v>Shopping</v>
      </c>
    </row>
    <row r="51" spans="1:8" x14ac:dyDescent="0.3">
      <c r="A51" t="s">
        <v>155</v>
      </c>
      <c r="B51" t="s">
        <v>157</v>
      </c>
      <c r="C51" t="s">
        <v>14</v>
      </c>
      <c r="E51">
        <v>2.7</v>
      </c>
      <c r="F51">
        <v>19.68</v>
      </c>
      <c r="G51" t="str">
        <f t="shared" si="0"/>
        <v>Transport</v>
      </c>
      <c r="H51" t="str">
        <f t="shared" si="1"/>
        <v>Fare / Travel</v>
      </c>
    </row>
    <row r="52" spans="1:8" x14ac:dyDescent="0.3">
      <c r="A52" t="s">
        <v>158</v>
      </c>
      <c r="B52" t="s">
        <v>100</v>
      </c>
      <c r="C52" t="s">
        <v>14</v>
      </c>
      <c r="E52">
        <v>3</v>
      </c>
      <c r="F52">
        <v>16.68</v>
      </c>
      <c r="G52" t="str">
        <f t="shared" si="0"/>
        <v>Transport</v>
      </c>
      <c r="H52" t="str">
        <f t="shared" si="1"/>
        <v>Fare / Travel</v>
      </c>
    </row>
    <row r="53" spans="1:8" x14ac:dyDescent="0.3">
      <c r="A53" t="s">
        <v>159</v>
      </c>
      <c r="B53" t="s">
        <v>157</v>
      </c>
      <c r="C53" t="s">
        <v>14</v>
      </c>
      <c r="E53">
        <v>2.7</v>
      </c>
      <c r="F53">
        <v>13.98</v>
      </c>
      <c r="G53" t="str">
        <f t="shared" si="0"/>
        <v>Transport</v>
      </c>
      <c r="H53" t="str">
        <f t="shared" si="1"/>
        <v>Fare / Travel</v>
      </c>
    </row>
    <row r="54" spans="1:8" x14ac:dyDescent="0.3">
      <c r="A54" t="s">
        <v>159</v>
      </c>
      <c r="B54" t="s">
        <v>29</v>
      </c>
      <c r="C54" t="s">
        <v>14</v>
      </c>
      <c r="E54">
        <v>3</v>
      </c>
      <c r="F54">
        <v>10.98</v>
      </c>
      <c r="G54" t="str">
        <f t="shared" si="0"/>
        <v>Transport</v>
      </c>
      <c r="H54" t="str">
        <f t="shared" si="1"/>
        <v>Fare / Travel</v>
      </c>
    </row>
    <row r="55" spans="1:8" x14ac:dyDescent="0.3">
      <c r="A55" t="s">
        <v>159</v>
      </c>
      <c r="B55" t="s">
        <v>29</v>
      </c>
      <c r="C55" t="s">
        <v>14</v>
      </c>
      <c r="E55">
        <v>3</v>
      </c>
      <c r="F55">
        <v>7.98</v>
      </c>
      <c r="G55" t="str">
        <f t="shared" si="0"/>
        <v>Transport</v>
      </c>
      <c r="H55" t="str">
        <f t="shared" si="1"/>
        <v>Fare / Travel</v>
      </c>
    </row>
    <row r="56" spans="1:8" x14ac:dyDescent="0.3">
      <c r="A56" t="s">
        <v>159</v>
      </c>
      <c r="B56" t="s">
        <v>29</v>
      </c>
      <c r="C56" t="s">
        <v>14</v>
      </c>
      <c r="E56">
        <v>3</v>
      </c>
      <c r="F56">
        <v>4.9800000000000004</v>
      </c>
      <c r="G56" t="str">
        <f t="shared" si="0"/>
        <v>Transport</v>
      </c>
      <c r="H56" t="str">
        <f t="shared" si="1"/>
        <v>Fare / Travel</v>
      </c>
    </row>
    <row r="57" spans="1:8" x14ac:dyDescent="0.3">
      <c r="A57" t="s">
        <v>159</v>
      </c>
      <c r="B57" t="s">
        <v>4</v>
      </c>
      <c r="C57" t="s">
        <v>68</v>
      </c>
      <c r="D57">
        <v>31.87</v>
      </c>
      <c r="F57">
        <v>36.85</v>
      </c>
      <c r="G57" t="str">
        <f t="shared" si="0"/>
        <v>Personal</v>
      </c>
      <c r="H57" t="str">
        <f t="shared" si="1"/>
        <v>Friends &amp; Family</v>
      </c>
    </row>
    <row r="58" spans="1:8" x14ac:dyDescent="0.3">
      <c r="A58" t="s">
        <v>160</v>
      </c>
      <c r="B58" t="s">
        <v>152</v>
      </c>
      <c r="C58" t="s">
        <v>14</v>
      </c>
      <c r="E58">
        <v>1.89</v>
      </c>
      <c r="F58">
        <v>34.96</v>
      </c>
      <c r="G58" t="str">
        <f t="shared" si="0"/>
        <v>Groceries</v>
      </c>
      <c r="H58" t="str">
        <f t="shared" si="1"/>
        <v>Shopping</v>
      </c>
    </row>
    <row r="59" spans="1:8" x14ac:dyDescent="0.3">
      <c r="A59" t="s">
        <v>161</v>
      </c>
      <c r="B59" t="s">
        <v>17</v>
      </c>
      <c r="C59" t="s">
        <v>14</v>
      </c>
      <c r="D59" t="s">
        <v>0</v>
      </c>
      <c r="E59">
        <v>2</v>
      </c>
      <c r="F59">
        <v>32.96</v>
      </c>
      <c r="G59" t="str">
        <f t="shared" si="0"/>
        <v>Groceries</v>
      </c>
      <c r="H59" t="str">
        <f t="shared" si="1"/>
        <v>Shopping</v>
      </c>
    </row>
    <row r="60" spans="1:8" x14ac:dyDescent="0.3">
      <c r="A60" t="s">
        <v>161</v>
      </c>
      <c r="B60" t="s">
        <v>162</v>
      </c>
      <c r="C60" t="s">
        <v>14</v>
      </c>
      <c r="E60">
        <v>2.1</v>
      </c>
      <c r="F60">
        <v>30.86</v>
      </c>
      <c r="G60" t="str">
        <f t="shared" si="0"/>
        <v>Groceries</v>
      </c>
      <c r="H60" t="str">
        <f t="shared" si="1"/>
        <v>Shopping</v>
      </c>
    </row>
    <row r="61" spans="1:8" x14ac:dyDescent="0.3">
      <c r="A61" t="s">
        <v>161</v>
      </c>
      <c r="B61" t="s">
        <v>163</v>
      </c>
      <c r="C61" t="s">
        <v>14</v>
      </c>
      <c r="E61">
        <v>0.99</v>
      </c>
      <c r="F61">
        <v>29.87</v>
      </c>
      <c r="G61" t="str">
        <f t="shared" si="0"/>
        <v>Utilities</v>
      </c>
      <c r="H61" t="str">
        <f t="shared" si="1"/>
        <v>Mobile / Data</v>
      </c>
    </row>
    <row r="62" spans="1:8" x14ac:dyDescent="0.3">
      <c r="A62" t="s">
        <v>164</v>
      </c>
      <c r="B62" t="s">
        <v>165</v>
      </c>
      <c r="C62" t="s">
        <v>14</v>
      </c>
      <c r="E62">
        <v>2.75</v>
      </c>
      <c r="F62">
        <v>27.12</v>
      </c>
      <c r="G62" t="str">
        <f t="shared" si="0"/>
        <v>Essentials</v>
      </c>
      <c r="H62" t="str">
        <f t="shared" si="1"/>
        <v>Shopping</v>
      </c>
    </row>
    <row r="63" spans="1:8" x14ac:dyDescent="0.3">
      <c r="A63" t="s">
        <v>166</v>
      </c>
      <c r="B63" t="s">
        <v>167</v>
      </c>
      <c r="C63" t="s">
        <v>14</v>
      </c>
      <c r="E63">
        <v>26.82</v>
      </c>
      <c r="F63">
        <v>0.3</v>
      </c>
      <c r="G63" t="str">
        <f t="shared" si="0"/>
        <v>Essentials</v>
      </c>
      <c r="H63" t="str">
        <f t="shared" si="1"/>
        <v>Shopping</v>
      </c>
    </row>
    <row r="64" spans="1:8" x14ac:dyDescent="0.3">
      <c r="A64" t="s">
        <v>168</v>
      </c>
      <c r="B64" t="s">
        <v>123</v>
      </c>
      <c r="C64" t="s">
        <v>72</v>
      </c>
      <c r="D64">
        <v>6</v>
      </c>
      <c r="F64">
        <v>6.3</v>
      </c>
      <c r="G64" t="str">
        <f t="shared" si="0"/>
        <v>Transport</v>
      </c>
      <c r="H64" t="str">
        <f t="shared" si="1"/>
        <v>Fare / Travel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3F94-D6A1-4369-A756-060360BACBD1}">
  <dimension ref="A1:H64"/>
  <sheetViews>
    <sheetView tabSelected="1" workbookViewId="0">
      <selection activeCell="J11" sqref="J11"/>
    </sheetView>
  </sheetViews>
  <sheetFormatPr defaultRowHeight="14.4" x14ac:dyDescent="0.3"/>
  <cols>
    <col min="1" max="1" width="16.5546875" style="2" bestFit="1" customWidth="1"/>
    <col min="2" max="2" width="20.109375" bestFit="1" customWidth="1"/>
    <col min="3" max="3" width="14.77734375" bestFit="1" customWidth="1"/>
    <col min="4" max="5" width="16.5546875" bestFit="1" customWidth="1"/>
    <col min="6" max="6" width="11.44140625" bestFit="1" customWidth="1"/>
    <col min="7" max="7" width="18.6640625" bestFit="1" customWidth="1"/>
    <col min="8" max="8" width="20.21875" bestFit="1" customWidth="1"/>
  </cols>
  <sheetData>
    <row r="1" spans="1:8" x14ac:dyDescent="0.3">
      <c r="A1" s="2" t="s">
        <v>111</v>
      </c>
      <c r="B1" t="s">
        <v>1</v>
      </c>
      <c r="C1" t="s">
        <v>2</v>
      </c>
      <c r="D1" t="s">
        <v>113</v>
      </c>
      <c r="E1" t="s">
        <v>114</v>
      </c>
      <c r="F1" t="s">
        <v>116</v>
      </c>
      <c r="G1" t="s">
        <v>117</v>
      </c>
      <c r="H1" t="s">
        <v>118</v>
      </c>
    </row>
    <row r="2" spans="1:8" x14ac:dyDescent="0.3">
      <c r="A2" s="2">
        <v>45841</v>
      </c>
      <c r="B2" t="s">
        <v>29</v>
      </c>
      <c r="C2" t="s">
        <v>14</v>
      </c>
      <c r="E2">
        <v>3</v>
      </c>
      <c r="F2">
        <v>16.54</v>
      </c>
      <c r="G2" t="str">
        <f>IF(OR(ISNUMBER(SEARCH("ARRIVA",B2)),ISNUMBER(SEARCH("Zettle",B2)),ISNUMBER(SEARCH("ENSIGN",B2)),ISNUMBER(SEARCH("IR",B2))),"Transport",
IF(OR(ISNUMBER(SEARCH("ALDI",B2)),ISNUMBER(SEARCH("NEW SEASON CASH",B2)),ISNUMBER(SEARCH("LONDON CASH CARRY",B2)),ISNUMBER(SEARCH("DAILY CATCH",B2)),ISNUMBER(SEARCH("ICELAND",B2)),ISNUMBER(SEARCH("KENT CASH",B2))),"Groceries",
IF(OR(ISNUMBER(SEARCH("CANCER RESEARCH",B2)),ISNUMBER(SEARCH("SAVERS",B2)),ISNUMBER(SEARCH("ZARA",B2)),ISNUMBER(SEARCH("MARKS&amp;SPENCER",B2)),ISNUMBER(SEARCH("PRIMARK",B2)),ISNUMBER(SEARCH("TIKTOK",B2)),ISNUMBER(SEARCH("EGO SHOES",B2)),ISNUMBER(SEARCH("BOOTS",B2))),"Essentials",
IF(OR(ISNUMBER(SEARCH("CUL",B2)),ISNUMBER(SEARCH("KP",B2)),ISNUMBER(SEARCH("RETAIL A",B2))),"Income",
IF(OR(ISNUMBER(SEARCH("BS",B2)),ISNUMBER(SEARCH("CN",B2)),ISNUMBER(SEARCH("EO",B2)),ISNUMBER(SEARCH("OO",B2)),ISNUMBER(SEARCH("TA",B2)),ISNUMBER(SEARCH("LEMFI",B2))),"Personal",
IF(ISNUMBER(SEARCH("ISTANBUL",B2)),"Entertainment",
IF(OR(ISNUMBER(SEARCH("UP",B2)),ISNUMBER(SEARCH("ULP",B2))),"Rent",
IF(OR(ISNUMBER(SEARCH("H3G",B2)),ISNUMBER(SEARCH("APPLE.COM/BILL",B2))),"Utilities",
"Other"))))))))</f>
        <v>Transport</v>
      </c>
      <c r="H2" t="str">
        <f>IF(G2="Transport","Fare / Travel",
IF(G2="Groceries","Shopping",
IF(G2="Essentials","Shopping",
IF(G2="Income","Salary / Reimbursement",
IF(G2="Personal","Friends &amp; Family",
IF(G2="Entertainment","Fun / Treats",
IF(G2="Rent","Rent",
IF(G2="Utilities","Mobile / Data",
"Other"))))))))</f>
        <v>Fare / Travel</v>
      </c>
    </row>
    <row r="3" spans="1:8" x14ac:dyDescent="0.3">
      <c r="A3" s="2">
        <v>45841</v>
      </c>
      <c r="B3" t="s">
        <v>29</v>
      </c>
      <c r="C3" t="s">
        <v>14</v>
      </c>
      <c r="E3">
        <v>3</v>
      </c>
      <c r="F3">
        <v>13.54</v>
      </c>
      <c r="G3" t="str">
        <f t="shared" ref="G3:G64" si="0">IF(OR(ISNUMBER(SEARCH("ARRIVA",B3)),ISNUMBER(SEARCH("Zettle",B3)),ISNUMBER(SEARCH("ENSIGN",B3)),ISNUMBER(SEARCH("IR",B3))),"Transport",
IF(OR(ISNUMBER(SEARCH("ALDI",B3)),ISNUMBER(SEARCH("NEW SEASON CASH",B3)),ISNUMBER(SEARCH("LONDON CASH CARRY",B3)),ISNUMBER(SEARCH("DAILY CATCH",B3)),ISNUMBER(SEARCH("ICELAND",B3)),ISNUMBER(SEARCH("KENT CASH",B3))),"Groceries",
IF(OR(ISNUMBER(SEARCH("CANCER RESEARCH",B3)),ISNUMBER(SEARCH("SAVERS",B3)),ISNUMBER(SEARCH("ZARA",B3)),ISNUMBER(SEARCH("MARKS&amp;SPENCER",B3)),ISNUMBER(SEARCH("PRIMARK",B3)),ISNUMBER(SEARCH("TIKTOK",B3)),ISNUMBER(SEARCH("EGO SHOES",B3)),ISNUMBER(SEARCH("BOOTS",B3))),"Essentials",
IF(OR(ISNUMBER(SEARCH("CUL",B3)),ISNUMBER(SEARCH("KP",B3)),ISNUMBER(SEARCH("RETAIL A",B3))),"Income",
IF(OR(ISNUMBER(SEARCH("BS",B3)),ISNUMBER(SEARCH("CN",B3)),ISNUMBER(SEARCH("EO",B3)),ISNUMBER(SEARCH("OO",B3)),ISNUMBER(SEARCH("TA",B3)),ISNUMBER(SEARCH("LEMFI",B3))),"Personal",
IF(ISNUMBER(SEARCH("ISTANBUL",B3)),"Entertainment",
IF(OR(ISNUMBER(SEARCH("UP",B3)),ISNUMBER(SEARCH("ULP",B3))),"Rent",
IF(OR(ISNUMBER(SEARCH("H3G",B3)),ISNUMBER(SEARCH("APPLE.COM/BILL",B3))),"Utilities",
"Other"))))))))</f>
        <v>Transport</v>
      </c>
      <c r="H3" t="str">
        <f t="shared" ref="H3:H64" si="1">IF(G3="Transport","Fare / Travel",
IF(G3="Groceries","Shopping",
IF(G3="Essentials","Shopping",
IF(G3="Income","Salary / Reimbursement",
IF(G3="Personal","Friends &amp; Family",
IF(G3="Entertainment","Fun / Treats",
IF(G3="Rent","Rent",
IF(G3="Utilities","Mobile / Data",
"Other"))))))))</f>
        <v>Fare / Travel</v>
      </c>
    </row>
    <row r="4" spans="1:8" x14ac:dyDescent="0.3">
      <c r="A4" s="2">
        <v>45841</v>
      </c>
      <c r="B4" t="s">
        <v>169</v>
      </c>
      <c r="C4" t="s">
        <v>14</v>
      </c>
      <c r="E4">
        <v>6.5</v>
      </c>
      <c r="F4">
        <v>7.04</v>
      </c>
      <c r="G4" t="str">
        <f t="shared" si="0"/>
        <v>Transport</v>
      </c>
      <c r="H4" t="str">
        <f t="shared" si="1"/>
        <v>Fare / Travel</v>
      </c>
    </row>
    <row r="5" spans="1:8" x14ac:dyDescent="0.3">
      <c r="A5" s="2">
        <v>45842</v>
      </c>
      <c r="B5" t="s">
        <v>124</v>
      </c>
      <c r="C5" t="s">
        <v>68</v>
      </c>
      <c r="D5">
        <v>165.18</v>
      </c>
      <c r="F5">
        <v>172.22</v>
      </c>
      <c r="G5" t="str">
        <f t="shared" si="0"/>
        <v>Income</v>
      </c>
      <c r="H5" t="str">
        <f t="shared" si="1"/>
        <v>Salary / Reimbursement</v>
      </c>
    </row>
    <row r="6" spans="1:8" x14ac:dyDescent="0.3">
      <c r="A6" s="2">
        <v>45842</v>
      </c>
      <c r="B6" t="s">
        <v>29</v>
      </c>
      <c r="C6" t="s">
        <v>14</v>
      </c>
      <c r="E6">
        <v>0.5</v>
      </c>
      <c r="F6">
        <v>171.72</v>
      </c>
      <c r="G6" t="str">
        <f t="shared" si="0"/>
        <v>Transport</v>
      </c>
      <c r="H6" t="str">
        <f t="shared" si="1"/>
        <v>Fare / Travel</v>
      </c>
    </row>
    <row r="7" spans="1:8" x14ac:dyDescent="0.3">
      <c r="A7" s="2">
        <v>45842</v>
      </c>
      <c r="B7" t="s">
        <v>173</v>
      </c>
      <c r="C7" t="s">
        <v>14</v>
      </c>
      <c r="E7">
        <v>6.33</v>
      </c>
      <c r="F7">
        <v>165.39</v>
      </c>
      <c r="G7" t="str">
        <f t="shared" si="0"/>
        <v>Groceries</v>
      </c>
      <c r="H7" t="str">
        <f t="shared" si="1"/>
        <v>Shopping</v>
      </c>
    </row>
    <row r="8" spans="1:8" x14ac:dyDescent="0.3">
      <c r="A8" s="2">
        <v>45845</v>
      </c>
      <c r="B8" t="s">
        <v>169</v>
      </c>
      <c r="C8" t="s">
        <v>14</v>
      </c>
      <c r="E8">
        <v>6.5</v>
      </c>
      <c r="F8">
        <v>158.88999999999999</v>
      </c>
      <c r="G8" t="str">
        <f t="shared" si="0"/>
        <v>Transport</v>
      </c>
      <c r="H8" t="str">
        <f t="shared" si="1"/>
        <v>Fare / Travel</v>
      </c>
    </row>
    <row r="9" spans="1:8" x14ac:dyDescent="0.3">
      <c r="A9" s="2">
        <v>45845</v>
      </c>
      <c r="B9" t="s">
        <v>97</v>
      </c>
      <c r="C9" t="s">
        <v>14</v>
      </c>
      <c r="E9">
        <v>2.19</v>
      </c>
      <c r="F9">
        <v>156.69999999999999</v>
      </c>
      <c r="G9" t="str">
        <f t="shared" si="0"/>
        <v>Groceries</v>
      </c>
      <c r="H9" t="str">
        <f t="shared" si="1"/>
        <v>Shopping</v>
      </c>
    </row>
    <row r="10" spans="1:8" x14ac:dyDescent="0.3">
      <c r="A10" s="2">
        <v>45845</v>
      </c>
      <c r="B10" t="s">
        <v>13</v>
      </c>
      <c r="C10" t="s">
        <v>14</v>
      </c>
      <c r="E10">
        <v>2.99</v>
      </c>
      <c r="F10">
        <v>153.71</v>
      </c>
      <c r="G10" t="str">
        <f t="shared" si="0"/>
        <v>Groceries</v>
      </c>
      <c r="H10" t="str">
        <f t="shared" si="1"/>
        <v>Shopping</v>
      </c>
    </row>
    <row r="11" spans="1:8" x14ac:dyDescent="0.3">
      <c r="A11" s="2">
        <v>45845</v>
      </c>
      <c r="B11" t="s">
        <v>131</v>
      </c>
      <c r="C11" t="s">
        <v>14</v>
      </c>
      <c r="E11">
        <v>5</v>
      </c>
      <c r="F11">
        <v>148.71</v>
      </c>
      <c r="G11" t="str">
        <f t="shared" si="0"/>
        <v>Essentials</v>
      </c>
      <c r="H11" t="str">
        <f t="shared" si="1"/>
        <v>Shopping</v>
      </c>
    </row>
    <row r="12" spans="1:8" x14ac:dyDescent="0.3">
      <c r="A12" s="2">
        <v>45845</v>
      </c>
      <c r="B12" t="s">
        <v>132</v>
      </c>
      <c r="C12" t="s">
        <v>14</v>
      </c>
      <c r="E12">
        <v>18.78</v>
      </c>
      <c r="F12">
        <v>129.93</v>
      </c>
      <c r="G12" t="str">
        <f t="shared" si="0"/>
        <v>Essentials</v>
      </c>
      <c r="H12" t="str">
        <f t="shared" si="1"/>
        <v>Shopping</v>
      </c>
    </row>
    <row r="13" spans="1:8" x14ac:dyDescent="0.3">
      <c r="A13" s="2">
        <v>45845</v>
      </c>
      <c r="B13" t="s">
        <v>121</v>
      </c>
      <c r="C13" t="s">
        <v>7</v>
      </c>
      <c r="E13">
        <v>25</v>
      </c>
      <c r="F13">
        <v>104.93</v>
      </c>
      <c r="G13" t="str">
        <f t="shared" si="0"/>
        <v>Personal</v>
      </c>
      <c r="H13" t="str">
        <f t="shared" si="1"/>
        <v>Friends &amp; Family</v>
      </c>
    </row>
    <row r="14" spans="1:8" x14ac:dyDescent="0.3">
      <c r="A14" s="2">
        <v>45846</v>
      </c>
      <c r="B14" t="s">
        <v>135</v>
      </c>
      <c r="C14" t="s">
        <v>14</v>
      </c>
      <c r="E14">
        <v>12.5</v>
      </c>
      <c r="F14">
        <v>92.43</v>
      </c>
      <c r="G14" t="str">
        <f t="shared" si="0"/>
        <v>Personal</v>
      </c>
      <c r="H14" t="str">
        <f t="shared" si="1"/>
        <v>Friends &amp; Family</v>
      </c>
    </row>
    <row r="15" spans="1:8" x14ac:dyDescent="0.3">
      <c r="A15" s="2">
        <v>45847</v>
      </c>
      <c r="B15" t="s">
        <v>170</v>
      </c>
      <c r="C15" t="s">
        <v>68</v>
      </c>
      <c r="D15">
        <v>20</v>
      </c>
      <c r="F15">
        <v>112.43</v>
      </c>
      <c r="G15" t="str">
        <f t="shared" si="0"/>
        <v>Personal</v>
      </c>
      <c r="H15" t="str">
        <f t="shared" si="1"/>
        <v>Friends &amp; Family</v>
      </c>
    </row>
    <row r="16" spans="1:8" x14ac:dyDescent="0.3">
      <c r="A16" s="2">
        <v>45847</v>
      </c>
      <c r="B16" t="s">
        <v>29</v>
      </c>
      <c r="C16" t="s">
        <v>14</v>
      </c>
      <c r="E16">
        <v>3</v>
      </c>
      <c r="F16">
        <v>109.43</v>
      </c>
      <c r="G16" t="str">
        <f t="shared" si="0"/>
        <v>Transport</v>
      </c>
      <c r="H16" t="str">
        <f t="shared" si="1"/>
        <v>Fare / Travel</v>
      </c>
    </row>
    <row r="17" spans="1:8" x14ac:dyDescent="0.3">
      <c r="A17" s="2">
        <v>45847</v>
      </c>
      <c r="B17" t="s">
        <v>29</v>
      </c>
      <c r="C17" t="s">
        <v>14</v>
      </c>
      <c r="E17">
        <v>3</v>
      </c>
      <c r="F17">
        <v>106.43</v>
      </c>
      <c r="G17" t="str">
        <f t="shared" si="0"/>
        <v>Transport</v>
      </c>
      <c r="H17" t="str">
        <f t="shared" si="1"/>
        <v>Fare / Travel</v>
      </c>
    </row>
    <row r="18" spans="1:8" x14ac:dyDescent="0.3">
      <c r="A18" s="2">
        <v>45848</v>
      </c>
      <c r="B18" t="s">
        <v>170</v>
      </c>
      <c r="C18" t="s">
        <v>68</v>
      </c>
      <c r="D18">
        <v>10</v>
      </c>
      <c r="F18">
        <v>116.43</v>
      </c>
      <c r="G18" t="str">
        <f t="shared" si="0"/>
        <v>Personal</v>
      </c>
      <c r="H18" t="str">
        <f t="shared" si="1"/>
        <v>Friends &amp; Family</v>
      </c>
    </row>
    <row r="19" spans="1:8" x14ac:dyDescent="0.3">
      <c r="A19" s="2">
        <v>45849</v>
      </c>
      <c r="B19" t="s">
        <v>122</v>
      </c>
      <c r="C19" t="s">
        <v>72</v>
      </c>
      <c r="D19">
        <v>168.6</v>
      </c>
      <c r="F19">
        <v>285.02999999999997</v>
      </c>
      <c r="G19" t="str">
        <f t="shared" si="0"/>
        <v>Income</v>
      </c>
      <c r="H19" t="str">
        <f t="shared" si="1"/>
        <v>Salary / Reimbursement</v>
      </c>
    </row>
    <row r="20" spans="1:8" x14ac:dyDescent="0.3">
      <c r="A20" s="2">
        <v>45849</v>
      </c>
      <c r="B20" t="s">
        <v>124</v>
      </c>
      <c r="C20" t="s">
        <v>68</v>
      </c>
      <c r="D20">
        <v>233.37</v>
      </c>
      <c r="F20">
        <v>518.4</v>
      </c>
      <c r="G20" t="str">
        <f t="shared" si="0"/>
        <v>Income</v>
      </c>
      <c r="H20" t="str">
        <f t="shared" si="1"/>
        <v>Salary / Reimbursement</v>
      </c>
    </row>
    <row r="21" spans="1:8" x14ac:dyDescent="0.3">
      <c r="A21" s="2">
        <v>45849</v>
      </c>
      <c r="B21" t="s">
        <v>119</v>
      </c>
      <c r="C21" t="s">
        <v>7</v>
      </c>
      <c r="E21">
        <v>70</v>
      </c>
      <c r="F21">
        <v>448.4</v>
      </c>
      <c r="G21" t="str">
        <f t="shared" si="0"/>
        <v>Personal</v>
      </c>
      <c r="H21" t="str">
        <f t="shared" si="1"/>
        <v>Friends &amp; Family</v>
      </c>
    </row>
    <row r="22" spans="1:8" x14ac:dyDescent="0.3">
      <c r="A22" s="2">
        <v>45849</v>
      </c>
      <c r="B22" t="s">
        <v>171</v>
      </c>
      <c r="C22" t="s">
        <v>7</v>
      </c>
      <c r="E22">
        <v>284.69</v>
      </c>
      <c r="F22">
        <v>163.71</v>
      </c>
      <c r="G22" t="str">
        <f t="shared" si="0"/>
        <v>Personal</v>
      </c>
      <c r="H22" t="str">
        <f t="shared" si="1"/>
        <v>Friends &amp; Family</v>
      </c>
    </row>
    <row r="23" spans="1:8" x14ac:dyDescent="0.3">
      <c r="A23" s="2">
        <v>45852</v>
      </c>
      <c r="B23" t="s">
        <v>120</v>
      </c>
      <c r="C23" t="s">
        <v>7</v>
      </c>
      <c r="E23">
        <v>50</v>
      </c>
      <c r="F23">
        <v>113.71</v>
      </c>
      <c r="G23" t="str">
        <f t="shared" si="0"/>
        <v>Personal</v>
      </c>
      <c r="H23" t="str">
        <f t="shared" si="1"/>
        <v>Friends &amp; Family</v>
      </c>
    </row>
    <row r="24" spans="1:8" x14ac:dyDescent="0.3">
      <c r="A24" s="2">
        <v>45852</v>
      </c>
      <c r="B24" t="s">
        <v>120</v>
      </c>
      <c r="C24" t="s">
        <v>7</v>
      </c>
      <c r="E24">
        <v>20</v>
      </c>
      <c r="F24">
        <v>93.71</v>
      </c>
      <c r="G24" t="str">
        <f t="shared" si="0"/>
        <v>Personal</v>
      </c>
      <c r="H24" t="str">
        <f t="shared" si="1"/>
        <v>Friends &amp; Family</v>
      </c>
    </row>
    <row r="25" spans="1:8" x14ac:dyDescent="0.3">
      <c r="A25" s="2">
        <v>45852</v>
      </c>
      <c r="B25" t="s">
        <v>29</v>
      </c>
      <c r="C25" t="s">
        <v>14</v>
      </c>
      <c r="E25">
        <v>3</v>
      </c>
      <c r="F25">
        <v>90.71</v>
      </c>
      <c r="G25" t="str">
        <f t="shared" si="0"/>
        <v>Transport</v>
      </c>
      <c r="H25" t="str">
        <f t="shared" si="1"/>
        <v>Fare / Travel</v>
      </c>
    </row>
    <row r="26" spans="1:8" x14ac:dyDescent="0.3">
      <c r="A26" s="2">
        <v>45852</v>
      </c>
      <c r="B26" t="s">
        <v>120</v>
      </c>
      <c r="C26" t="s">
        <v>7</v>
      </c>
      <c r="E26">
        <v>10</v>
      </c>
      <c r="F26">
        <v>80.709999999999994</v>
      </c>
      <c r="G26" t="str">
        <f t="shared" si="0"/>
        <v>Personal</v>
      </c>
      <c r="H26" t="str">
        <f t="shared" si="1"/>
        <v>Friends &amp; Family</v>
      </c>
    </row>
    <row r="27" spans="1:8" x14ac:dyDescent="0.3">
      <c r="A27" s="2">
        <v>45853</v>
      </c>
      <c r="B27" t="s">
        <v>126</v>
      </c>
      <c r="C27" t="s">
        <v>72</v>
      </c>
      <c r="D27">
        <v>467</v>
      </c>
      <c r="F27">
        <v>547.71</v>
      </c>
      <c r="G27" t="str">
        <f t="shared" si="0"/>
        <v>Income</v>
      </c>
      <c r="H27" t="str">
        <f t="shared" si="1"/>
        <v>Salary / Reimbursement</v>
      </c>
    </row>
    <row r="28" spans="1:8" x14ac:dyDescent="0.3">
      <c r="A28" s="2">
        <v>45854</v>
      </c>
      <c r="B28" t="s">
        <v>20</v>
      </c>
      <c r="C28" t="s">
        <v>21</v>
      </c>
      <c r="E28">
        <v>20.65</v>
      </c>
      <c r="F28">
        <v>527.05999999999995</v>
      </c>
      <c r="G28" t="str">
        <f t="shared" si="0"/>
        <v>Utilities</v>
      </c>
      <c r="H28" t="str">
        <f t="shared" si="1"/>
        <v>Mobile / Data</v>
      </c>
    </row>
    <row r="29" spans="1:8" x14ac:dyDescent="0.3">
      <c r="A29" s="2">
        <v>45855</v>
      </c>
      <c r="B29" t="s">
        <v>123</v>
      </c>
      <c r="C29" t="s">
        <v>72</v>
      </c>
      <c r="D29">
        <v>3</v>
      </c>
      <c r="F29">
        <v>530.05999999999995</v>
      </c>
      <c r="G29" t="str">
        <f t="shared" si="0"/>
        <v>Transport</v>
      </c>
      <c r="H29" t="str">
        <f t="shared" si="1"/>
        <v>Fare / Travel</v>
      </c>
    </row>
    <row r="30" spans="1:8" x14ac:dyDescent="0.3">
      <c r="A30" s="2">
        <v>45855</v>
      </c>
      <c r="B30" t="s">
        <v>123</v>
      </c>
      <c r="C30" t="s">
        <v>72</v>
      </c>
      <c r="D30">
        <v>6</v>
      </c>
      <c r="F30">
        <v>536.05999999999995</v>
      </c>
      <c r="G30" t="str">
        <f t="shared" si="0"/>
        <v>Transport</v>
      </c>
      <c r="H30" t="str">
        <f t="shared" si="1"/>
        <v>Fare / Travel</v>
      </c>
    </row>
    <row r="31" spans="1:8" x14ac:dyDescent="0.3">
      <c r="A31" s="2">
        <v>45855</v>
      </c>
      <c r="B31" t="s">
        <v>120</v>
      </c>
      <c r="C31" t="s">
        <v>7</v>
      </c>
      <c r="E31">
        <v>2</v>
      </c>
      <c r="F31">
        <v>534.05999999999995</v>
      </c>
      <c r="G31" t="str">
        <f t="shared" si="0"/>
        <v>Personal</v>
      </c>
      <c r="H31" t="str">
        <f t="shared" si="1"/>
        <v>Friends &amp; Family</v>
      </c>
    </row>
    <row r="32" spans="1:8" x14ac:dyDescent="0.3">
      <c r="A32" s="2">
        <v>45855</v>
      </c>
      <c r="B32" t="s">
        <v>120</v>
      </c>
      <c r="C32" t="s">
        <v>7</v>
      </c>
      <c r="E32">
        <v>65.599999999999994</v>
      </c>
      <c r="F32">
        <v>468.46</v>
      </c>
      <c r="G32" t="str">
        <f t="shared" si="0"/>
        <v>Personal</v>
      </c>
      <c r="H32" t="str">
        <f t="shared" si="1"/>
        <v>Friends &amp; Family</v>
      </c>
    </row>
    <row r="33" spans="1:8" x14ac:dyDescent="0.3">
      <c r="A33" s="2">
        <v>45855</v>
      </c>
      <c r="B33" t="s">
        <v>145</v>
      </c>
      <c r="C33" t="s">
        <v>14</v>
      </c>
      <c r="E33">
        <v>16.95</v>
      </c>
      <c r="F33">
        <v>451.51</v>
      </c>
      <c r="G33" t="str">
        <f t="shared" si="0"/>
        <v>Essentials</v>
      </c>
      <c r="H33" t="str">
        <f t="shared" si="1"/>
        <v>Shopping</v>
      </c>
    </row>
    <row r="34" spans="1:8" x14ac:dyDescent="0.3">
      <c r="A34" s="2">
        <v>45856</v>
      </c>
      <c r="B34" t="s">
        <v>120</v>
      </c>
      <c r="C34" t="s">
        <v>7</v>
      </c>
      <c r="E34">
        <v>2</v>
      </c>
      <c r="F34">
        <v>449.51</v>
      </c>
      <c r="G34" t="str">
        <f t="shared" si="0"/>
        <v>Personal</v>
      </c>
      <c r="H34" t="str">
        <f t="shared" si="1"/>
        <v>Friends &amp; Family</v>
      </c>
    </row>
    <row r="35" spans="1:8" x14ac:dyDescent="0.3">
      <c r="A35" s="2">
        <v>45859</v>
      </c>
      <c r="B35" t="s">
        <v>148</v>
      </c>
      <c r="C35" t="s">
        <v>14</v>
      </c>
      <c r="E35">
        <v>24.47</v>
      </c>
      <c r="F35">
        <v>425.04</v>
      </c>
      <c r="G35" t="str">
        <f t="shared" si="0"/>
        <v>Essentials</v>
      </c>
      <c r="H35" t="str">
        <f t="shared" si="1"/>
        <v>Shopping</v>
      </c>
    </row>
    <row r="36" spans="1:8" x14ac:dyDescent="0.3">
      <c r="A36" s="2">
        <v>45859</v>
      </c>
      <c r="B36" t="s">
        <v>120</v>
      </c>
      <c r="C36" t="s">
        <v>172</v>
      </c>
      <c r="D36">
        <v>200</v>
      </c>
      <c r="F36">
        <v>625.04</v>
      </c>
      <c r="G36" t="str">
        <f t="shared" si="0"/>
        <v>Personal</v>
      </c>
      <c r="H36" t="str">
        <f t="shared" si="1"/>
        <v>Friends &amp; Family</v>
      </c>
    </row>
    <row r="37" spans="1:8" x14ac:dyDescent="0.3">
      <c r="A37" s="2">
        <v>45859</v>
      </c>
      <c r="B37" t="s">
        <v>125</v>
      </c>
      <c r="C37" t="s">
        <v>7</v>
      </c>
      <c r="E37">
        <v>500</v>
      </c>
      <c r="F37">
        <v>125.04</v>
      </c>
      <c r="G37" t="str">
        <f t="shared" si="0"/>
        <v>Rent</v>
      </c>
      <c r="H37" t="str">
        <f t="shared" si="1"/>
        <v>Rent</v>
      </c>
    </row>
    <row r="38" spans="1:8" x14ac:dyDescent="0.3">
      <c r="A38" s="2">
        <v>45859</v>
      </c>
      <c r="B38" t="s">
        <v>150</v>
      </c>
      <c r="C38" t="s">
        <v>14</v>
      </c>
      <c r="E38">
        <v>11.99</v>
      </c>
      <c r="F38">
        <v>113.05</v>
      </c>
      <c r="G38" t="str">
        <f t="shared" si="0"/>
        <v>Essentials</v>
      </c>
      <c r="H38" t="str">
        <f t="shared" si="1"/>
        <v>Shopping</v>
      </c>
    </row>
    <row r="39" spans="1:8" x14ac:dyDescent="0.3">
      <c r="A39" s="2">
        <v>45859</v>
      </c>
      <c r="B39" t="s">
        <v>151</v>
      </c>
      <c r="C39" t="s">
        <v>14</v>
      </c>
      <c r="E39">
        <v>25.1</v>
      </c>
      <c r="F39">
        <v>87.95</v>
      </c>
      <c r="G39" t="str">
        <f t="shared" si="0"/>
        <v>Essentials</v>
      </c>
      <c r="H39" t="str">
        <f t="shared" si="1"/>
        <v>Shopping</v>
      </c>
    </row>
    <row r="40" spans="1:8" x14ac:dyDescent="0.3">
      <c r="A40" s="2">
        <v>45859</v>
      </c>
      <c r="B40" t="s">
        <v>13</v>
      </c>
      <c r="C40" t="s">
        <v>14</v>
      </c>
      <c r="E40">
        <v>3.99</v>
      </c>
      <c r="F40">
        <v>83.96</v>
      </c>
      <c r="G40" t="str">
        <f t="shared" si="0"/>
        <v>Groceries</v>
      </c>
      <c r="H40" t="str">
        <f t="shared" si="1"/>
        <v>Shopping</v>
      </c>
    </row>
    <row r="41" spans="1:8" x14ac:dyDescent="0.3">
      <c r="A41" s="2">
        <v>45859</v>
      </c>
      <c r="B41" t="s">
        <v>13</v>
      </c>
      <c r="C41" t="s">
        <v>14</v>
      </c>
      <c r="E41">
        <v>4.78</v>
      </c>
      <c r="F41">
        <v>79.180000000000007</v>
      </c>
      <c r="G41" t="str">
        <f t="shared" si="0"/>
        <v>Groceries</v>
      </c>
      <c r="H41" t="str">
        <f t="shared" si="1"/>
        <v>Shopping</v>
      </c>
    </row>
    <row r="42" spans="1:8" x14ac:dyDescent="0.3">
      <c r="A42" s="2">
        <v>45859</v>
      </c>
      <c r="B42" t="s">
        <v>90</v>
      </c>
      <c r="C42" t="s">
        <v>14</v>
      </c>
      <c r="E42">
        <v>7</v>
      </c>
      <c r="F42">
        <v>72.180000000000007</v>
      </c>
      <c r="G42" t="str">
        <f t="shared" si="0"/>
        <v>Groceries</v>
      </c>
      <c r="H42" t="str">
        <f t="shared" si="1"/>
        <v>Shopping</v>
      </c>
    </row>
    <row r="43" spans="1:8" x14ac:dyDescent="0.3">
      <c r="A43" s="2">
        <v>45859</v>
      </c>
      <c r="B43" t="s">
        <v>97</v>
      </c>
      <c r="C43" t="s">
        <v>14</v>
      </c>
      <c r="E43">
        <v>20.5</v>
      </c>
      <c r="F43">
        <v>51.68</v>
      </c>
      <c r="G43" t="str">
        <f t="shared" si="0"/>
        <v>Groceries</v>
      </c>
      <c r="H43" t="str">
        <f t="shared" si="1"/>
        <v>Shopping</v>
      </c>
    </row>
    <row r="44" spans="1:8" x14ac:dyDescent="0.3">
      <c r="A44" s="2">
        <v>45859</v>
      </c>
      <c r="B44" t="s">
        <v>13</v>
      </c>
      <c r="C44" t="s">
        <v>14</v>
      </c>
      <c r="E44">
        <v>33.5</v>
      </c>
      <c r="F44">
        <v>18.18</v>
      </c>
      <c r="G44" t="str">
        <f t="shared" si="0"/>
        <v>Groceries</v>
      </c>
      <c r="H44" t="str">
        <f t="shared" si="1"/>
        <v>Shopping</v>
      </c>
    </row>
    <row r="45" spans="1:8" x14ac:dyDescent="0.3">
      <c r="A45" s="2">
        <v>45860</v>
      </c>
      <c r="B45" t="s">
        <v>29</v>
      </c>
      <c r="C45" t="s">
        <v>14</v>
      </c>
      <c r="E45">
        <v>3</v>
      </c>
      <c r="F45">
        <v>15.18</v>
      </c>
      <c r="G45" t="str">
        <f t="shared" si="0"/>
        <v>Transport</v>
      </c>
      <c r="H45" t="str">
        <f t="shared" si="1"/>
        <v>Fare / Travel</v>
      </c>
    </row>
    <row r="46" spans="1:8" x14ac:dyDescent="0.3">
      <c r="A46" s="2">
        <v>45860</v>
      </c>
      <c r="B46" t="s">
        <v>29</v>
      </c>
      <c r="C46" t="s">
        <v>14</v>
      </c>
      <c r="E46">
        <v>3</v>
      </c>
      <c r="F46">
        <v>12.18</v>
      </c>
      <c r="G46" t="str">
        <f t="shared" si="0"/>
        <v>Transport</v>
      </c>
      <c r="H46" t="str">
        <f t="shared" si="1"/>
        <v>Fare / Travel</v>
      </c>
    </row>
    <row r="47" spans="1:8" x14ac:dyDescent="0.3">
      <c r="A47" s="2">
        <v>45862</v>
      </c>
      <c r="B47" t="s">
        <v>123</v>
      </c>
      <c r="C47" t="s">
        <v>72</v>
      </c>
      <c r="D47">
        <v>3</v>
      </c>
      <c r="F47">
        <v>15.18</v>
      </c>
      <c r="G47" t="str">
        <f t="shared" si="0"/>
        <v>Transport</v>
      </c>
      <c r="H47" t="str">
        <f t="shared" si="1"/>
        <v>Fare / Travel</v>
      </c>
    </row>
    <row r="48" spans="1:8" x14ac:dyDescent="0.3">
      <c r="A48" s="2">
        <v>45862</v>
      </c>
      <c r="B48" t="s">
        <v>123</v>
      </c>
      <c r="C48" t="s">
        <v>72</v>
      </c>
      <c r="D48">
        <v>6</v>
      </c>
      <c r="F48">
        <v>21.18</v>
      </c>
      <c r="G48" t="str">
        <f t="shared" si="0"/>
        <v>Transport</v>
      </c>
      <c r="H48" t="str">
        <f t="shared" si="1"/>
        <v>Fare / Travel</v>
      </c>
    </row>
    <row r="49" spans="1:8" x14ac:dyDescent="0.3">
      <c r="A49" s="2">
        <v>45862</v>
      </c>
      <c r="B49" t="s">
        <v>123</v>
      </c>
      <c r="C49" t="s">
        <v>72</v>
      </c>
      <c r="D49">
        <v>6</v>
      </c>
      <c r="F49">
        <v>27.18</v>
      </c>
      <c r="G49" t="str">
        <f t="shared" si="0"/>
        <v>Transport</v>
      </c>
      <c r="H49" t="str">
        <f t="shared" si="1"/>
        <v>Fare / Travel</v>
      </c>
    </row>
    <row r="50" spans="1:8" x14ac:dyDescent="0.3">
      <c r="A50" s="2">
        <v>45862</v>
      </c>
      <c r="B50" t="s">
        <v>156</v>
      </c>
      <c r="C50" t="s">
        <v>14</v>
      </c>
      <c r="E50">
        <v>4.8</v>
      </c>
      <c r="F50">
        <v>22.38</v>
      </c>
      <c r="G50" t="str">
        <f t="shared" si="0"/>
        <v>Essentials</v>
      </c>
      <c r="H50" t="str">
        <f t="shared" si="1"/>
        <v>Shopping</v>
      </c>
    </row>
    <row r="51" spans="1:8" x14ac:dyDescent="0.3">
      <c r="A51" s="2">
        <v>45862</v>
      </c>
      <c r="B51" t="s">
        <v>157</v>
      </c>
      <c r="C51" t="s">
        <v>14</v>
      </c>
      <c r="E51">
        <v>2.7</v>
      </c>
      <c r="F51">
        <v>19.68</v>
      </c>
      <c r="G51" t="str">
        <f t="shared" si="0"/>
        <v>Transport</v>
      </c>
      <c r="H51" t="str">
        <f t="shared" si="1"/>
        <v>Fare / Travel</v>
      </c>
    </row>
    <row r="52" spans="1:8" x14ac:dyDescent="0.3">
      <c r="A52" s="2">
        <v>45862</v>
      </c>
      <c r="B52" t="s">
        <v>29</v>
      </c>
      <c r="C52" t="s">
        <v>14</v>
      </c>
      <c r="E52">
        <v>3</v>
      </c>
      <c r="F52">
        <v>16.68</v>
      </c>
      <c r="G52" t="str">
        <f t="shared" si="0"/>
        <v>Transport</v>
      </c>
      <c r="H52" t="str">
        <f t="shared" si="1"/>
        <v>Fare / Travel</v>
      </c>
    </row>
    <row r="53" spans="1:8" x14ac:dyDescent="0.3">
      <c r="A53" s="2">
        <v>45863</v>
      </c>
      <c r="B53" t="s">
        <v>157</v>
      </c>
      <c r="C53" t="s">
        <v>14</v>
      </c>
      <c r="E53">
        <v>2.7</v>
      </c>
      <c r="F53">
        <v>13.98</v>
      </c>
      <c r="G53" t="str">
        <f t="shared" si="0"/>
        <v>Transport</v>
      </c>
      <c r="H53" t="str">
        <f t="shared" si="1"/>
        <v>Fare / Travel</v>
      </c>
    </row>
    <row r="54" spans="1:8" x14ac:dyDescent="0.3">
      <c r="A54" s="2">
        <v>45863</v>
      </c>
      <c r="B54" t="s">
        <v>29</v>
      </c>
      <c r="C54" t="s">
        <v>14</v>
      </c>
      <c r="E54">
        <v>3</v>
      </c>
      <c r="F54">
        <v>10.98</v>
      </c>
      <c r="G54" t="str">
        <f t="shared" si="0"/>
        <v>Transport</v>
      </c>
      <c r="H54" t="str">
        <f t="shared" si="1"/>
        <v>Fare / Travel</v>
      </c>
    </row>
    <row r="55" spans="1:8" x14ac:dyDescent="0.3">
      <c r="A55" s="2">
        <v>45863</v>
      </c>
      <c r="B55" t="s">
        <v>29</v>
      </c>
      <c r="C55" t="s">
        <v>14</v>
      </c>
      <c r="E55">
        <v>3</v>
      </c>
      <c r="F55">
        <v>7.98</v>
      </c>
      <c r="G55" t="str">
        <f t="shared" si="0"/>
        <v>Transport</v>
      </c>
      <c r="H55" t="str">
        <f t="shared" si="1"/>
        <v>Fare / Travel</v>
      </c>
    </row>
    <row r="56" spans="1:8" x14ac:dyDescent="0.3">
      <c r="A56" s="2">
        <v>45863</v>
      </c>
      <c r="B56" t="s">
        <v>29</v>
      </c>
      <c r="C56" t="s">
        <v>14</v>
      </c>
      <c r="E56">
        <v>3</v>
      </c>
      <c r="F56">
        <v>4.9800000000000004</v>
      </c>
      <c r="G56" t="str">
        <f t="shared" si="0"/>
        <v>Transport</v>
      </c>
      <c r="H56" t="str">
        <f t="shared" si="1"/>
        <v>Fare / Travel</v>
      </c>
    </row>
    <row r="57" spans="1:8" x14ac:dyDescent="0.3">
      <c r="A57" s="2">
        <v>45863</v>
      </c>
      <c r="B57" t="s">
        <v>4</v>
      </c>
      <c r="C57" t="s">
        <v>68</v>
      </c>
      <c r="D57">
        <v>31.87</v>
      </c>
      <c r="F57">
        <v>36.85</v>
      </c>
      <c r="G57" t="str">
        <f t="shared" si="0"/>
        <v>Personal</v>
      </c>
      <c r="H57" t="str">
        <f t="shared" si="1"/>
        <v>Friends &amp; Family</v>
      </c>
    </row>
    <row r="58" spans="1:8" x14ac:dyDescent="0.3">
      <c r="A58" s="2">
        <v>45866</v>
      </c>
      <c r="B58" t="s">
        <v>13</v>
      </c>
      <c r="C58" t="s">
        <v>14</v>
      </c>
      <c r="E58">
        <v>1.89</v>
      </c>
      <c r="F58">
        <v>34.96</v>
      </c>
      <c r="G58" t="str">
        <f t="shared" si="0"/>
        <v>Groceries</v>
      </c>
      <c r="H58" t="str">
        <f t="shared" si="1"/>
        <v>Shopping</v>
      </c>
    </row>
    <row r="59" spans="1:8" x14ac:dyDescent="0.3">
      <c r="A59" s="2">
        <v>45866</v>
      </c>
      <c r="B59" t="s">
        <v>17</v>
      </c>
      <c r="C59" t="s">
        <v>14</v>
      </c>
      <c r="D59" t="s">
        <v>0</v>
      </c>
      <c r="E59">
        <v>2</v>
      </c>
      <c r="F59">
        <v>32.96</v>
      </c>
      <c r="G59" t="str">
        <f t="shared" si="0"/>
        <v>Groceries</v>
      </c>
      <c r="H59" t="str">
        <f t="shared" si="1"/>
        <v>Shopping</v>
      </c>
    </row>
    <row r="60" spans="1:8" x14ac:dyDescent="0.3">
      <c r="A60" s="2">
        <v>45866</v>
      </c>
      <c r="B60" t="s">
        <v>162</v>
      </c>
      <c r="C60" t="s">
        <v>14</v>
      </c>
      <c r="E60">
        <v>2.1</v>
      </c>
      <c r="F60">
        <v>30.86</v>
      </c>
      <c r="G60" t="str">
        <f t="shared" si="0"/>
        <v>Groceries</v>
      </c>
      <c r="H60" t="str">
        <f t="shared" si="1"/>
        <v>Shopping</v>
      </c>
    </row>
    <row r="61" spans="1:8" x14ac:dyDescent="0.3">
      <c r="A61" s="2">
        <v>45866</v>
      </c>
      <c r="B61" t="s">
        <v>163</v>
      </c>
      <c r="C61" t="s">
        <v>14</v>
      </c>
      <c r="E61">
        <v>0.99</v>
      </c>
      <c r="F61">
        <v>29.87</v>
      </c>
      <c r="G61" t="str">
        <f t="shared" si="0"/>
        <v>Utilities</v>
      </c>
      <c r="H61" t="str">
        <f t="shared" si="1"/>
        <v>Mobile / Data</v>
      </c>
    </row>
    <row r="62" spans="1:8" x14ac:dyDescent="0.3">
      <c r="A62" s="2">
        <v>45867</v>
      </c>
      <c r="B62" t="s">
        <v>132</v>
      </c>
      <c r="C62" t="s">
        <v>14</v>
      </c>
      <c r="E62">
        <v>2.75</v>
      </c>
      <c r="F62">
        <v>27.12</v>
      </c>
      <c r="G62" t="str">
        <f t="shared" si="0"/>
        <v>Essentials</v>
      </c>
      <c r="H62" t="str">
        <f t="shared" si="1"/>
        <v>Shopping</v>
      </c>
    </row>
    <row r="63" spans="1:8" x14ac:dyDescent="0.3">
      <c r="A63" s="2">
        <v>45867</v>
      </c>
      <c r="B63" t="s">
        <v>167</v>
      </c>
      <c r="C63" t="s">
        <v>14</v>
      </c>
      <c r="E63">
        <v>26.82</v>
      </c>
      <c r="F63">
        <v>0.3</v>
      </c>
      <c r="G63" t="str">
        <f t="shared" si="0"/>
        <v>Essentials</v>
      </c>
      <c r="H63" t="str">
        <f t="shared" si="1"/>
        <v>Shopping</v>
      </c>
    </row>
    <row r="64" spans="1:8" x14ac:dyDescent="0.3">
      <c r="A64" s="2">
        <v>45869</v>
      </c>
      <c r="B64" t="s">
        <v>123</v>
      </c>
      <c r="C64" t="s">
        <v>72</v>
      </c>
      <c r="D64">
        <v>6</v>
      </c>
      <c r="F64">
        <v>6.3</v>
      </c>
      <c r="G64" t="str">
        <f t="shared" si="0"/>
        <v>Transport</v>
      </c>
      <c r="H64" t="str">
        <f t="shared" si="1"/>
        <v>Fare / Travel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1046-9DF3-4876-A1FD-10D5CAB23A8C}">
  <dimension ref="A1:H61"/>
  <sheetViews>
    <sheetView workbookViewId="0">
      <selection activeCell="H11" sqref="H11"/>
    </sheetView>
  </sheetViews>
  <sheetFormatPr defaultRowHeight="14.4" x14ac:dyDescent="0.3"/>
  <cols>
    <col min="1" max="1" width="16.5546875" bestFit="1" customWidth="1"/>
    <col min="2" max="2" width="19.77734375" bestFit="1" customWidth="1"/>
    <col min="3" max="3" width="20.33203125" bestFit="1" customWidth="1"/>
    <col min="4" max="6" width="20.33203125" customWidth="1"/>
    <col min="7" max="7" width="10.44140625" bestFit="1" customWidth="1"/>
    <col min="8" max="8" width="20.21875" bestFit="1" customWidth="1"/>
  </cols>
  <sheetData>
    <row r="1" spans="1:8" x14ac:dyDescent="0.3">
      <c r="A1" t="s">
        <v>111</v>
      </c>
      <c r="B1" t="s">
        <v>1</v>
      </c>
      <c r="C1" t="s">
        <v>2</v>
      </c>
      <c r="D1" t="s">
        <v>113</v>
      </c>
      <c r="E1" t="s">
        <v>114</v>
      </c>
      <c r="F1" t="s">
        <v>116</v>
      </c>
      <c r="G1" t="s">
        <v>117</v>
      </c>
      <c r="H1" t="s">
        <v>118</v>
      </c>
    </row>
    <row r="2" spans="1:8" x14ac:dyDescent="0.3">
      <c r="A2" t="s">
        <v>174</v>
      </c>
      <c r="B2" t="s">
        <v>171</v>
      </c>
      <c r="C2" t="s">
        <v>68</v>
      </c>
      <c r="D2">
        <v>90</v>
      </c>
      <c r="F2">
        <v>96.3</v>
      </c>
      <c r="G2" t="s">
        <v>206</v>
      </c>
      <c r="H2" t="str">
        <f t="shared" ref="H2:H33" si="0">IF(G2="Transport","Fare / Travel",
IF(G2="Groceries","Shopping",
IF(G2="Essentials","Shopping",
IF(G2="Income","Salary / Reimbursement",
IF(G2="Personal","Friends &amp; Family",
IF(G2="Entertainment","Fun / Treats",
IF(G2="Rent","Rent",
IF(G2="Utilities","Mobile / Data",
"Other"))))))))</f>
        <v>Friends &amp; Family</v>
      </c>
    </row>
    <row r="3" spans="1:8" x14ac:dyDescent="0.3">
      <c r="A3" t="s">
        <v>174</v>
      </c>
      <c r="B3" t="s">
        <v>120</v>
      </c>
      <c r="C3" t="s">
        <v>7</v>
      </c>
      <c r="E3">
        <v>10</v>
      </c>
      <c r="F3">
        <v>86.3</v>
      </c>
      <c r="G3" t="s">
        <v>206</v>
      </c>
      <c r="H3" t="str">
        <f t="shared" si="0"/>
        <v>Friends &amp; Family</v>
      </c>
    </row>
    <row r="4" spans="1:8" x14ac:dyDescent="0.3">
      <c r="A4" s="1">
        <v>45873</v>
      </c>
      <c r="B4" t="s">
        <v>120</v>
      </c>
      <c r="C4" t="s">
        <v>7</v>
      </c>
      <c r="E4">
        <v>10</v>
      </c>
      <c r="F4">
        <v>76.3</v>
      </c>
      <c r="G4" t="s">
        <v>206</v>
      </c>
      <c r="H4" t="str">
        <f t="shared" si="0"/>
        <v>Friends &amp; Family</v>
      </c>
    </row>
    <row r="5" spans="1:8" x14ac:dyDescent="0.3">
      <c r="A5" t="s">
        <v>175</v>
      </c>
      <c r="B5" t="s">
        <v>205</v>
      </c>
      <c r="C5" t="s">
        <v>7</v>
      </c>
      <c r="E5">
        <v>5</v>
      </c>
      <c r="F5">
        <v>71.3</v>
      </c>
      <c r="G5" t="s">
        <v>206</v>
      </c>
      <c r="H5" t="str">
        <f t="shared" si="0"/>
        <v>Friends &amp; Family</v>
      </c>
    </row>
    <row r="6" spans="1:8" x14ac:dyDescent="0.3">
      <c r="A6" t="s">
        <v>175</v>
      </c>
      <c r="B6" t="s">
        <v>29</v>
      </c>
      <c r="C6" t="s">
        <v>14</v>
      </c>
      <c r="E6">
        <v>3</v>
      </c>
      <c r="F6">
        <v>68.3</v>
      </c>
      <c r="G6" t="s">
        <v>207</v>
      </c>
      <c r="H6" t="str">
        <f t="shared" si="0"/>
        <v>Fare / Travel</v>
      </c>
    </row>
    <row r="7" spans="1:8" x14ac:dyDescent="0.3">
      <c r="A7" t="s">
        <v>176</v>
      </c>
      <c r="B7" t="s">
        <v>100</v>
      </c>
      <c r="C7" t="s">
        <v>14</v>
      </c>
      <c r="E7">
        <v>3</v>
      </c>
      <c r="F7">
        <v>65.3</v>
      </c>
      <c r="G7" t="s">
        <v>207</v>
      </c>
      <c r="H7" t="str">
        <f t="shared" si="0"/>
        <v>Fare / Travel</v>
      </c>
    </row>
    <row r="8" spans="1:8" x14ac:dyDescent="0.3">
      <c r="A8" t="s">
        <v>175</v>
      </c>
      <c r="B8" t="s">
        <v>87</v>
      </c>
      <c r="C8" t="s">
        <v>14</v>
      </c>
      <c r="E8">
        <v>4.5</v>
      </c>
      <c r="F8">
        <v>60.8</v>
      </c>
      <c r="G8" t="s">
        <v>208</v>
      </c>
      <c r="H8" t="str">
        <f t="shared" si="0"/>
        <v>Shopping</v>
      </c>
    </row>
    <row r="9" spans="1:8" x14ac:dyDescent="0.3">
      <c r="A9" t="s">
        <v>175</v>
      </c>
      <c r="B9" t="s">
        <v>169</v>
      </c>
      <c r="C9" t="s">
        <v>14</v>
      </c>
      <c r="E9">
        <v>11</v>
      </c>
      <c r="F9">
        <v>49.8</v>
      </c>
      <c r="G9" t="s">
        <v>207</v>
      </c>
      <c r="H9" t="str">
        <f t="shared" si="0"/>
        <v>Fare / Travel</v>
      </c>
    </row>
    <row r="10" spans="1:8" x14ac:dyDescent="0.3">
      <c r="A10" t="s">
        <v>175</v>
      </c>
      <c r="B10" t="s">
        <v>177</v>
      </c>
      <c r="C10" t="s">
        <v>14</v>
      </c>
      <c r="E10">
        <v>1.49</v>
      </c>
      <c r="F10">
        <v>48.31</v>
      </c>
      <c r="G10" t="s">
        <v>208</v>
      </c>
      <c r="H10" t="str">
        <f t="shared" si="0"/>
        <v>Shopping</v>
      </c>
    </row>
    <row r="11" spans="1:8" x14ac:dyDescent="0.3">
      <c r="A11" t="s">
        <v>175</v>
      </c>
      <c r="B11" t="s">
        <v>162</v>
      </c>
      <c r="C11" t="s">
        <v>14</v>
      </c>
      <c r="E11">
        <v>2</v>
      </c>
      <c r="F11">
        <v>46.31</v>
      </c>
      <c r="G11" t="s">
        <v>208</v>
      </c>
      <c r="H11" t="str">
        <f t="shared" si="0"/>
        <v>Shopping</v>
      </c>
    </row>
    <row r="12" spans="1:8" x14ac:dyDescent="0.3">
      <c r="A12" t="s">
        <v>175</v>
      </c>
      <c r="B12" t="s">
        <v>17</v>
      </c>
      <c r="C12" t="s">
        <v>14</v>
      </c>
      <c r="E12">
        <v>6.35</v>
      </c>
      <c r="F12">
        <v>39.96</v>
      </c>
      <c r="G12" t="s">
        <v>208</v>
      </c>
      <c r="H12" t="str">
        <f t="shared" si="0"/>
        <v>Shopping</v>
      </c>
    </row>
    <row r="13" spans="1:8" x14ac:dyDescent="0.3">
      <c r="A13" t="s">
        <v>176</v>
      </c>
      <c r="B13" t="s">
        <v>152</v>
      </c>
      <c r="C13" t="s">
        <v>14</v>
      </c>
      <c r="E13">
        <v>7.87</v>
      </c>
      <c r="F13">
        <v>32.090000000000003</v>
      </c>
      <c r="G13" t="s">
        <v>208</v>
      </c>
      <c r="H13" t="str">
        <f t="shared" si="0"/>
        <v>Shopping</v>
      </c>
    </row>
    <row r="14" spans="1:8" x14ac:dyDescent="0.3">
      <c r="A14" t="s">
        <v>175</v>
      </c>
      <c r="B14" t="s">
        <v>132</v>
      </c>
      <c r="C14" t="s">
        <v>14</v>
      </c>
      <c r="E14">
        <v>12.78</v>
      </c>
      <c r="F14">
        <v>19.309999999999999</v>
      </c>
      <c r="G14" t="s">
        <v>209</v>
      </c>
      <c r="H14" t="str">
        <f t="shared" si="0"/>
        <v>Shopping</v>
      </c>
    </row>
    <row r="15" spans="1:8" x14ac:dyDescent="0.3">
      <c r="A15" t="s">
        <v>178</v>
      </c>
      <c r="B15" t="s">
        <v>179</v>
      </c>
      <c r="C15" t="s">
        <v>14</v>
      </c>
      <c r="E15">
        <v>0.3</v>
      </c>
      <c r="F15">
        <v>19.010000000000002</v>
      </c>
      <c r="G15" t="s">
        <v>208</v>
      </c>
      <c r="H15" t="str">
        <f t="shared" si="0"/>
        <v>Shopping</v>
      </c>
    </row>
    <row r="16" spans="1:8" x14ac:dyDescent="0.3">
      <c r="A16" t="s">
        <v>178</v>
      </c>
      <c r="B16" t="s">
        <v>87</v>
      </c>
      <c r="C16" t="s">
        <v>14</v>
      </c>
      <c r="E16">
        <v>2.75</v>
      </c>
      <c r="F16">
        <v>16.260000000000002</v>
      </c>
      <c r="G16" t="s">
        <v>208</v>
      </c>
      <c r="H16" t="str">
        <f t="shared" si="0"/>
        <v>Shopping</v>
      </c>
    </row>
    <row r="17" spans="1:8" x14ac:dyDescent="0.3">
      <c r="A17" t="s">
        <v>180</v>
      </c>
      <c r="B17" t="s">
        <v>169</v>
      </c>
      <c r="C17" t="s">
        <v>14</v>
      </c>
      <c r="E17">
        <v>11</v>
      </c>
      <c r="F17">
        <v>5.26</v>
      </c>
      <c r="G17" t="s">
        <v>207</v>
      </c>
      <c r="H17" t="str">
        <f t="shared" si="0"/>
        <v>Fare / Travel</v>
      </c>
    </row>
    <row r="18" spans="1:8" x14ac:dyDescent="0.3">
      <c r="A18" t="s">
        <v>180</v>
      </c>
      <c r="B18" t="s">
        <v>120</v>
      </c>
      <c r="C18" t="s">
        <v>68</v>
      </c>
      <c r="D18">
        <v>20</v>
      </c>
      <c r="F18">
        <v>25.26</v>
      </c>
      <c r="G18" t="s">
        <v>206</v>
      </c>
      <c r="H18" t="str">
        <f t="shared" si="0"/>
        <v>Friends &amp; Family</v>
      </c>
    </row>
    <row r="19" spans="1:8" x14ac:dyDescent="0.3">
      <c r="A19" t="s">
        <v>178</v>
      </c>
      <c r="B19" t="s">
        <v>120</v>
      </c>
      <c r="C19" t="s">
        <v>68</v>
      </c>
      <c r="D19">
        <v>5</v>
      </c>
      <c r="F19">
        <v>30.26</v>
      </c>
      <c r="G19" t="s">
        <v>206</v>
      </c>
      <c r="H19" t="str">
        <f t="shared" si="0"/>
        <v>Friends &amp; Family</v>
      </c>
    </row>
    <row r="20" spans="1:8" x14ac:dyDescent="0.3">
      <c r="A20" t="s">
        <v>181</v>
      </c>
      <c r="B20" t="s">
        <v>13</v>
      </c>
      <c r="C20" t="s">
        <v>14</v>
      </c>
      <c r="E20">
        <v>27.97</v>
      </c>
      <c r="F20">
        <v>2.29</v>
      </c>
      <c r="G20" t="s">
        <v>208</v>
      </c>
      <c r="H20" t="str">
        <f t="shared" si="0"/>
        <v>Shopping</v>
      </c>
    </row>
    <row r="21" spans="1:8" x14ac:dyDescent="0.3">
      <c r="A21" t="s">
        <v>182</v>
      </c>
      <c r="B21" t="s">
        <v>120</v>
      </c>
      <c r="C21" t="s">
        <v>7</v>
      </c>
      <c r="E21">
        <v>2.29</v>
      </c>
      <c r="F21">
        <v>0</v>
      </c>
      <c r="G21" t="s">
        <v>206</v>
      </c>
      <c r="H21" t="str">
        <f t="shared" si="0"/>
        <v>Friends &amp; Family</v>
      </c>
    </row>
    <row r="22" spans="1:8" x14ac:dyDescent="0.3">
      <c r="A22" t="s">
        <v>182</v>
      </c>
      <c r="B22" t="s">
        <v>120</v>
      </c>
      <c r="C22" t="s">
        <v>68</v>
      </c>
      <c r="D22">
        <v>18.760000000000002</v>
      </c>
      <c r="F22">
        <v>18.760000000000002</v>
      </c>
      <c r="G22" t="s">
        <v>206</v>
      </c>
      <c r="H22" t="str">
        <f t="shared" si="0"/>
        <v>Friends &amp; Family</v>
      </c>
    </row>
    <row r="23" spans="1:8" x14ac:dyDescent="0.3">
      <c r="A23" t="s">
        <v>182</v>
      </c>
      <c r="B23" t="s">
        <v>119</v>
      </c>
      <c r="C23" t="s">
        <v>68</v>
      </c>
      <c r="D23">
        <v>5</v>
      </c>
      <c r="F23">
        <v>23.76</v>
      </c>
      <c r="G23" t="s">
        <v>206</v>
      </c>
      <c r="H23" t="str">
        <f t="shared" si="0"/>
        <v>Friends &amp; Family</v>
      </c>
    </row>
    <row r="24" spans="1:8" x14ac:dyDescent="0.3">
      <c r="A24" t="s">
        <v>183</v>
      </c>
      <c r="B24" t="s">
        <v>122</v>
      </c>
      <c r="C24" t="s">
        <v>72</v>
      </c>
      <c r="D24">
        <v>168.6</v>
      </c>
      <c r="F24">
        <v>192.36</v>
      </c>
      <c r="G24" t="s">
        <v>210</v>
      </c>
      <c r="H24" t="str">
        <f t="shared" si="0"/>
        <v>Salary / Reimbursement</v>
      </c>
    </row>
    <row r="25" spans="1:8" x14ac:dyDescent="0.3">
      <c r="A25" t="s">
        <v>184</v>
      </c>
      <c r="B25" t="s">
        <v>124</v>
      </c>
      <c r="C25" t="s">
        <v>68</v>
      </c>
      <c r="D25">
        <v>174.75</v>
      </c>
      <c r="F25">
        <v>367.11</v>
      </c>
      <c r="G25" t="s">
        <v>210</v>
      </c>
      <c r="H25" t="str">
        <f t="shared" si="0"/>
        <v>Salary / Reimbursement</v>
      </c>
    </row>
    <row r="26" spans="1:8" x14ac:dyDescent="0.3">
      <c r="A26" t="s">
        <v>184</v>
      </c>
      <c r="B26" t="s">
        <v>29</v>
      </c>
      <c r="C26" t="s">
        <v>14</v>
      </c>
      <c r="E26">
        <v>3</v>
      </c>
      <c r="F26">
        <v>364.11</v>
      </c>
      <c r="G26" t="s">
        <v>207</v>
      </c>
      <c r="H26" t="str">
        <f t="shared" si="0"/>
        <v>Fare / Travel</v>
      </c>
    </row>
    <row r="27" spans="1:8" x14ac:dyDescent="0.3">
      <c r="A27" t="s">
        <v>184</v>
      </c>
      <c r="B27" t="s">
        <v>185</v>
      </c>
      <c r="C27" t="s">
        <v>14</v>
      </c>
      <c r="E27">
        <v>19.48</v>
      </c>
      <c r="F27">
        <v>344.63</v>
      </c>
      <c r="G27" t="s">
        <v>209</v>
      </c>
      <c r="H27" t="str">
        <f t="shared" si="0"/>
        <v>Shopping</v>
      </c>
    </row>
    <row r="28" spans="1:8" x14ac:dyDescent="0.3">
      <c r="A28" t="s">
        <v>186</v>
      </c>
      <c r="B28" t="s">
        <v>171</v>
      </c>
      <c r="C28" t="s">
        <v>7</v>
      </c>
      <c r="E28">
        <v>35</v>
      </c>
      <c r="F28">
        <v>309.63</v>
      </c>
      <c r="G28" t="s">
        <v>206</v>
      </c>
      <c r="H28" t="str">
        <f t="shared" si="0"/>
        <v>Friends &amp; Family</v>
      </c>
    </row>
    <row r="29" spans="1:8" x14ac:dyDescent="0.3">
      <c r="A29" t="s">
        <v>186</v>
      </c>
      <c r="B29" t="s">
        <v>169</v>
      </c>
      <c r="C29" t="s">
        <v>14</v>
      </c>
      <c r="E29">
        <v>6.5</v>
      </c>
      <c r="F29">
        <v>303.13</v>
      </c>
      <c r="G29" t="s">
        <v>207</v>
      </c>
      <c r="H29" t="str">
        <f t="shared" si="0"/>
        <v>Fare / Travel</v>
      </c>
    </row>
    <row r="30" spans="1:8" x14ac:dyDescent="0.3">
      <c r="A30" t="s">
        <v>187</v>
      </c>
      <c r="B30" t="s">
        <v>188</v>
      </c>
      <c r="C30" t="s">
        <v>14</v>
      </c>
      <c r="E30">
        <v>0.75</v>
      </c>
      <c r="F30">
        <v>302.38</v>
      </c>
      <c r="G30" t="s">
        <v>208</v>
      </c>
      <c r="H30" t="str">
        <f t="shared" si="0"/>
        <v>Shopping</v>
      </c>
    </row>
    <row r="31" spans="1:8" x14ac:dyDescent="0.3">
      <c r="A31" t="s">
        <v>186</v>
      </c>
      <c r="B31" t="s">
        <v>13</v>
      </c>
      <c r="C31" t="s">
        <v>14</v>
      </c>
      <c r="E31">
        <v>2.89</v>
      </c>
      <c r="F31">
        <v>299.49</v>
      </c>
      <c r="G31" t="s">
        <v>208</v>
      </c>
      <c r="H31" t="str">
        <f t="shared" si="0"/>
        <v>Shopping</v>
      </c>
    </row>
    <row r="32" spans="1:8" x14ac:dyDescent="0.3">
      <c r="A32" t="s">
        <v>186</v>
      </c>
      <c r="B32" t="s">
        <v>29</v>
      </c>
      <c r="C32" t="s">
        <v>14</v>
      </c>
      <c r="E32">
        <v>6</v>
      </c>
      <c r="F32">
        <v>293.49</v>
      </c>
      <c r="G32" t="s">
        <v>207</v>
      </c>
      <c r="H32" t="str">
        <f t="shared" si="0"/>
        <v>Fare / Travel</v>
      </c>
    </row>
    <row r="33" spans="1:8" x14ac:dyDescent="0.3">
      <c r="A33" t="s">
        <v>186</v>
      </c>
      <c r="B33" t="s">
        <v>189</v>
      </c>
      <c r="C33" t="s">
        <v>14</v>
      </c>
      <c r="E33">
        <v>7</v>
      </c>
      <c r="F33">
        <v>286.49</v>
      </c>
      <c r="G33" t="s">
        <v>209</v>
      </c>
      <c r="H33" t="str">
        <f t="shared" si="0"/>
        <v>Shopping</v>
      </c>
    </row>
    <row r="34" spans="1:8" x14ac:dyDescent="0.3">
      <c r="A34" t="s">
        <v>186</v>
      </c>
      <c r="B34" t="s">
        <v>173</v>
      </c>
      <c r="C34" t="s">
        <v>14</v>
      </c>
      <c r="E34">
        <v>41.47</v>
      </c>
      <c r="F34">
        <v>245.02</v>
      </c>
      <c r="G34" t="s">
        <v>208</v>
      </c>
      <c r="H34" t="str">
        <f t="shared" ref="H34:H61" si="1">IF(G34="Transport","Fare / Travel",
IF(G34="Groceries","Shopping",
IF(G34="Essentials","Shopping",
IF(G34="Income","Salary / Reimbursement",
IF(G34="Personal","Friends &amp; Family",
IF(G34="Entertainment","Fun / Treats",
IF(G34="Rent","Rent",
IF(G34="Utilities","Mobile / Data",
"Other"))))))))</f>
        <v>Shopping</v>
      </c>
    </row>
    <row r="35" spans="1:8" x14ac:dyDescent="0.3">
      <c r="A35" t="s">
        <v>186</v>
      </c>
      <c r="B35" t="s">
        <v>190</v>
      </c>
      <c r="C35" t="s">
        <v>14</v>
      </c>
      <c r="E35">
        <v>3.5</v>
      </c>
      <c r="F35">
        <v>241.52</v>
      </c>
      <c r="G35" t="s">
        <v>209</v>
      </c>
      <c r="H35" t="str">
        <f t="shared" si="1"/>
        <v>Shopping</v>
      </c>
    </row>
    <row r="36" spans="1:8" x14ac:dyDescent="0.3">
      <c r="A36" t="s">
        <v>187</v>
      </c>
      <c r="B36" t="s">
        <v>100</v>
      </c>
      <c r="C36" t="s">
        <v>14</v>
      </c>
      <c r="E36">
        <v>3</v>
      </c>
      <c r="F36">
        <v>238.52</v>
      </c>
      <c r="G36" t="s">
        <v>207</v>
      </c>
      <c r="H36" t="str">
        <f t="shared" si="1"/>
        <v>Fare / Travel</v>
      </c>
    </row>
    <row r="37" spans="1:8" x14ac:dyDescent="0.3">
      <c r="A37" t="s">
        <v>186</v>
      </c>
      <c r="B37" t="s">
        <v>52</v>
      </c>
      <c r="C37" t="s">
        <v>14</v>
      </c>
      <c r="E37">
        <v>8</v>
      </c>
      <c r="F37">
        <v>230.52</v>
      </c>
      <c r="G37" t="s">
        <v>208</v>
      </c>
      <c r="H37" t="str">
        <f t="shared" si="1"/>
        <v>Shopping</v>
      </c>
    </row>
    <row r="38" spans="1:8" x14ac:dyDescent="0.3">
      <c r="A38" t="s">
        <v>191</v>
      </c>
      <c r="B38" t="s">
        <v>169</v>
      </c>
      <c r="C38" t="s">
        <v>14</v>
      </c>
      <c r="E38">
        <v>6.5</v>
      </c>
      <c r="F38">
        <v>224.02</v>
      </c>
      <c r="G38" t="s">
        <v>207</v>
      </c>
      <c r="H38" t="str">
        <f t="shared" si="1"/>
        <v>Fare / Travel</v>
      </c>
    </row>
    <row r="39" spans="1:8" x14ac:dyDescent="0.3">
      <c r="A39" t="s">
        <v>191</v>
      </c>
      <c r="B39" t="s">
        <v>211</v>
      </c>
      <c r="C39" t="s">
        <v>7</v>
      </c>
      <c r="E39">
        <v>70</v>
      </c>
      <c r="F39">
        <v>154.02000000000001</v>
      </c>
      <c r="G39" t="s">
        <v>206</v>
      </c>
      <c r="H39" t="str">
        <f t="shared" si="1"/>
        <v>Friends &amp; Family</v>
      </c>
    </row>
    <row r="40" spans="1:8" x14ac:dyDescent="0.3">
      <c r="A40" t="s">
        <v>192</v>
      </c>
      <c r="B40" t="s">
        <v>169</v>
      </c>
      <c r="C40" t="s">
        <v>14</v>
      </c>
      <c r="E40">
        <v>6.5</v>
      </c>
      <c r="F40">
        <v>147.52000000000001</v>
      </c>
      <c r="G40" t="s">
        <v>207</v>
      </c>
      <c r="H40" t="str">
        <f t="shared" si="1"/>
        <v>Fare / Travel</v>
      </c>
    </row>
    <row r="41" spans="1:8" x14ac:dyDescent="0.3">
      <c r="A41" t="s">
        <v>193</v>
      </c>
      <c r="B41" t="s">
        <v>171</v>
      </c>
      <c r="C41" t="s">
        <v>68</v>
      </c>
      <c r="D41">
        <v>35</v>
      </c>
      <c r="F41">
        <v>182.52</v>
      </c>
      <c r="G41" t="s">
        <v>206</v>
      </c>
      <c r="H41" t="str">
        <f t="shared" si="1"/>
        <v>Friends &amp; Family</v>
      </c>
    </row>
    <row r="42" spans="1:8" x14ac:dyDescent="0.3">
      <c r="A42" t="s">
        <v>193</v>
      </c>
      <c r="B42" t="s">
        <v>169</v>
      </c>
      <c r="C42" t="s">
        <v>14</v>
      </c>
      <c r="E42">
        <v>6.5</v>
      </c>
      <c r="F42">
        <v>176.02</v>
      </c>
      <c r="G42" t="s">
        <v>207</v>
      </c>
      <c r="H42" t="str">
        <f t="shared" si="1"/>
        <v>Fare / Travel</v>
      </c>
    </row>
    <row r="43" spans="1:8" x14ac:dyDescent="0.3">
      <c r="A43" t="s">
        <v>194</v>
      </c>
      <c r="B43" t="s">
        <v>126</v>
      </c>
      <c r="C43" t="s">
        <v>72</v>
      </c>
      <c r="D43">
        <v>17.399999999999999</v>
      </c>
      <c r="F43">
        <v>193.42</v>
      </c>
      <c r="G43" t="s">
        <v>210</v>
      </c>
      <c r="H43" t="str">
        <f t="shared" si="1"/>
        <v>Salary / Reimbursement</v>
      </c>
    </row>
    <row r="44" spans="1:8" x14ac:dyDescent="0.3">
      <c r="A44" t="s">
        <v>194</v>
      </c>
      <c r="B44" t="s">
        <v>124</v>
      </c>
      <c r="C44" t="s">
        <v>68</v>
      </c>
      <c r="D44">
        <v>195.85</v>
      </c>
      <c r="F44">
        <v>389.27</v>
      </c>
      <c r="G44" t="s">
        <v>210</v>
      </c>
      <c r="H44" t="str">
        <f t="shared" si="1"/>
        <v>Salary / Reimbursement</v>
      </c>
    </row>
    <row r="45" spans="1:8" x14ac:dyDescent="0.3">
      <c r="A45" t="s">
        <v>194</v>
      </c>
      <c r="B45" t="s">
        <v>195</v>
      </c>
      <c r="C45" t="s">
        <v>14</v>
      </c>
      <c r="E45">
        <v>47.98</v>
      </c>
      <c r="F45">
        <v>341.29</v>
      </c>
      <c r="G45" t="s">
        <v>207</v>
      </c>
      <c r="H45" t="str">
        <f t="shared" si="1"/>
        <v>Fare / Travel</v>
      </c>
    </row>
    <row r="46" spans="1:8" x14ac:dyDescent="0.3">
      <c r="A46" t="s">
        <v>196</v>
      </c>
      <c r="B46" t="s">
        <v>197</v>
      </c>
      <c r="C46" t="s">
        <v>14</v>
      </c>
      <c r="E46">
        <v>0.99</v>
      </c>
      <c r="F46">
        <v>340.3</v>
      </c>
      <c r="G46" t="s">
        <v>208</v>
      </c>
      <c r="H46" t="str">
        <f t="shared" si="1"/>
        <v>Shopping</v>
      </c>
    </row>
    <row r="47" spans="1:8" x14ac:dyDescent="0.3">
      <c r="A47" t="s">
        <v>198</v>
      </c>
      <c r="B47" t="s">
        <v>29</v>
      </c>
      <c r="C47" t="s">
        <v>14</v>
      </c>
      <c r="E47">
        <v>2.5</v>
      </c>
      <c r="F47">
        <v>337.8</v>
      </c>
      <c r="G47" t="s">
        <v>207</v>
      </c>
      <c r="H47" t="str">
        <f t="shared" si="1"/>
        <v>Fare / Travel</v>
      </c>
    </row>
    <row r="48" spans="1:8" x14ac:dyDescent="0.3">
      <c r="A48" t="s">
        <v>198</v>
      </c>
      <c r="B48" t="s">
        <v>29</v>
      </c>
      <c r="C48" t="s">
        <v>14</v>
      </c>
      <c r="E48">
        <v>3</v>
      </c>
      <c r="F48">
        <v>334.8</v>
      </c>
      <c r="G48" t="s">
        <v>207</v>
      </c>
      <c r="H48" t="str">
        <f t="shared" si="1"/>
        <v>Fare / Travel</v>
      </c>
    </row>
    <row r="49" spans="1:8" x14ac:dyDescent="0.3">
      <c r="A49" t="s">
        <v>198</v>
      </c>
      <c r="B49" t="s">
        <v>169</v>
      </c>
      <c r="C49" t="s">
        <v>14</v>
      </c>
      <c r="E49">
        <v>6.5</v>
      </c>
      <c r="F49">
        <v>328.3</v>
      </c>
      <c r="G49" t="s">
        <v>207</v>
      </c>
      <c r="H49" t="str">
        <f t="shared" si="1"/>
        <v>Fare / Travel</v>
      </c>
    </row>
    <row r="50" spans="1:8" x14ac:dyDescent="0.3">
      <c r="A50" t="s">
        <v>198</v>
      </c>
      <c r="B50" t="s">
        <v>199</v>
      </c>
      <c r="C50" t="s">
        <v>14</v>
      </c>
      <c r="E50">
        <v>34</v>
      </c>
      <c r="F50">
        <v>294.3</v>
      </c>
      <c r="G50" t="s">
        <v>209</v>
      </c>
      <c r="H50" t="str">
        <f t="shared" si="1"/>
        <v>Shopping</v>
      </c>
    </row>
    <row r="51" spans="1:8" x14ac:dyDescent="0.3">
      <c r="A51" t="s">
        <v>198</v>
      </c>
      <c r="B51" t="s">
        <v>29</v>
      </c>
      <c r="C51" t="s">
        <v>14</v>
      </c>
      <c r="E51">
        <v>3</v>
      </c>
      <c r="F51">
        <v>291.3</v>
      </c>
      <c r="G51" t="s">
        <v>207</v>
      </c>
      <c r="H51" t="str">
        <f t="shared" si="1"/>
        <v>Fare / Travel</v>
      </c>
    </row>
    <row r="52" spans="1:8" x14ac:dyDescent="0.3">
      <c r="A52" t="s">
        <v>196</v>
      </c>
      <c r="B52" t="s">
        <v>20</v>
      </c>
      <c r="C52" t="s">
        <v>21</v>
      </c>
      <c r="E52">
        <v>20</v>
      </c>
      <c r="F52">
        <v>271.3</v>
      </c>
      <c r="G52" t="s">
        <v>212</v>
      </c>
      <c r="H52" t="str">
        <f t="shared" si="1"/>
        <v>Mobile / Data</v>
      </c>
    </row>
    <row r="53" spans="1:8" x14ac:dyDescent="0.3">
      <c r="A53" t="s">
        <v>198</v>
      </c>
      <c r="B53" t="s">
        <v>200</v>
      </c>
      <c r="C53" t="s">
        <v>14</v>
      </c>
      <c r="E53">
        <v>9</v>
      </c>
      <c r="F53">
        <v>262.3</v>
      </c>
      <c r="G53" t="s">
        <v>209</v>
      </c>
      <c r="H53" t="str">
        <f t="shared" si="1"/>
        <v>Shopping</v>
      </c>
    </row>
    <row r="54" spans="1:8" x14ac:dyDescent="0.3">
      <c r="A54" t="s">
        <v>201</v>
      </c>
      <c r="B54" t="s">
        <v>169</v>
      </c>
      <c r="C54" t="s">
        <v>14</v>
      </c>
      <c r="E54">
        <v>6.5</v>
      </c>
      <c r="F54">
        <v>255.8</v>
      </c>
      <c r="G54" t="s">
        <v>207</v>
      </c>
      <c r="H54" t="str">
        <f t="shared" si="1"/>
        <v>Fare / Travel</v>
      </c>
    </row>
    <row r="55" spans="1:8" x14ac:dyDescent="0.3">
      <c r="A55" t="s">
        <v>202</v>
      </c>
      <c r="B55" t="s">
        <v>123</v>
      </c>
      <c r="C55" t="s">
        <v>72</v>
      </c>
      <c r="D55">
        <v>6</v>
      </c>
      <c r="F55">
        <v>261.8</v>
      </c>
      <c r="G55" t="s">
        <v>207</v>
      </c>
      <c r="H55" t="str">
        <f t="shared" si="1"/>
        <v>Fare / Travel</v>
      </c>
    </row>
    <row r="56" spans="1:8" x14ac:dyDescent="0.3">
      <c r="A56" t="s">
        <v>202</v>
      </c>
      <c r="B56" t="s">
        <v>123</v>
      </c>
      <c r="C56" t="s">
        <v>72</v>
      </c>
      <c r="D56">
        <v>6</v>
      </c>
      <c r="F56">
        <v>267.8</v>
      </c>
      <c r="G56" t="s">
        <v>207</v>
      </c>
      <c r="H56" t="str">
        <f t="shared" si="1"/>
        <v>Fare / Travel</v>
      </c>
    </row>
    <row r="57" spans="1:8" x14ac:dyDescent="0.3">
      <c r="A57" t="s">
        <v>202</v>
      </c>
      <c r="B57" t="s">
        <v>119</v>
      </c>
      <c r="C57" t="s">
        <v>68</v>
      </c>
      <c r="D57">
        <v>270</v>
      </c>
      <c r="F57">
        <v>537.79999999999995</v>
      </c>
      <c r="G57" t="s">
        <v>206</v>
      </c>
      <c r="H57" t="str">
        <f t="shared" si="1"/>
        <v>Friends &amp; Family</v>
      </c>
    </row>
    <row r="58" spans="1:8" x14ac:dyDescent="0.3">
      <c r="A58" t="s">
        <v>203</v>
      </c>
      <c r="B58" t="s">
        <v>125</v>
      </c>
      <c r="C58" t="s">
        <v>7</v>
      </c>
      <c r="E58">
        <v>500</v>
      </c>
      <c r="F58">
        <v>37.799999999999997</v>
      </c>
      <c r="G58" t="s">
        <v>213</v>
      </c>
      <c r="H58" t="str">
        <f t="shared" si="1"/>
        <v>Rent</v>
      </c>
    </row>
    <row r="59" spans="1:8" x14ac:dyDescent="0.3">
      <c r="A59" t="s">
        <v>202</v>
      </c>
      <c r="B59" t="s">
        <v>163</v>
      </c>
      <c r="C59" t="s">
        <v>14</v>
      </c>
      <c r="E59">
        <v>0.99</v>
      </c>
      <c r="F59">
        <v>36.81</v>
      </c>
      <c r="G59" t="s">
        <v>212</v>
      </c>
      <c r="H59" t="str">
        <f t="shared" si="1"/>
        <v>Mobile / Data</v>
      </c>
    </row>
    <row r="60" spans="1:8" x14ac:dyDescent="0.3">
      <c r="A60" t="s">
        <v>202</v>
      </c>
      <c r="B60" t="s">
        <v>169</v>
      </c>
      <c r="C60" t="s">
        <v>14</v>
      </c>
      <c r="E60">
        <v>6.5</v>
      </c>
      <c r="F60">
        <v>30.31</v>
      </c>
      <c r="G60" t="s">
        <v>207</v>
      </c>
      <c r="H60" t="str">
        <f t="shared" si="1"/>
        <v>Fare / Travel</v>
      </c>
    </row>
    <row r="61" spans="1:8" x14ac:dyDescent="0.3">
      <c r="A61" t="s">
        <v>204</v>
      </c>
      <c r="B61" t="s">
        <v>169</v>
      </c>
      <c r="C61" t="s">
        <v>14</v>
      </c>
      <c r="E61">
        <v>6.5</v>
      </c>
      <c r="F61">
        <v>23.81</v>
      </c>
      <c r="G61" t="s">
        <v>207</v>
      </c>
      <c r="H61" t="str">
        <f t="shared" si="1"/>
        <v>Fare / Travel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FCF1-13B6-4DE3-B559-16E1CD91FF06}">
  <dimension ref="A1:H61"/>
  <sheetViews>
    <sheetView workbookViewId="0">
      <selection activeCell="E20" sqref="E20"/>
    </sheetView>
  </sheetViews>
  <sheetFormatPr defaultRowHeight="14.4" x14ac:dyDescent="0.3"/>
  <cols>
    <col min="1" max="1" width="16.5546875" style="2" bestFit="1" customWidth="1"/>
    <col min="2" max="2" width="19.77734375" bestFit="1" customWidth="1"/>
    <col min="3" max="3" width="20.33203125" bestFit="1" customWidth="1"/>
    <col min="4" max="6" width="20.33203125" customWidth="1"/>
    <col min="7" max="7" width="10.44140625" bestFit="1" customWidth="1"/>
    <col min="8" max="8" width="20.21875" bestFit="1" customWidth="1"/>
  </cols>
  <sheetData>
    <row r="1" spans="1:8" x14ac:dyDescent="0.3">
      <c r="A1" s="2" t="s">
        <v>111</v>
      </c>
      <c r="B1" t="s">
        <v>1</v>
      </c>
      <c r="C1" t="s">
        <v>2</v>
      </c>
      <c r="D1" t="s">
        <v>113</v>
      </c>
      <c r="E1" t="s">
        <v>114</v>
      </c>
      <c r="F1" t="s">
        <v>116</v>
      </c>
      <c r="G1" t="s">
        <v>117</v>
      </c>
      <c r="H1" t="s">
        <v>118</v>
      </c>
    </row>
    <row r="2" spans="1:8" x14ac:dyDescent="0.3">
      <c r="A2" s="2">
        <v>45870</v>
      </c>
      <c r="B2" t="s">
        <v>171</v>
      </c>
      <c r="C2" t="s">
        <v>68</v>
      </c>
      <c r="D2">
        <v>90</v>
      </c>
      <c r="F2">
        <v>96.3</v>
      </c>
      <c r="G2" t="s">
        <v>206</v>
      </c>
      <c r="H2" t="str">
        <f t="shared" ref="H2:H61" si="0">IF(G2="Transport","Fare / Travel",
IF(G2="Groceries","Shopping",
IF(G2="Essentials","Shopping",
IF(G2="Income","Salary / Reimbursement",
IF(G2="Personal","Friends &amp; Family",
IF(G2="Entertainment","Fun / Treats",
IF(G2="Rent","Rent",
IF(G2="Utilities","Mobile / Data",
"Other"))))))))</f>
        <v>Friends &amp; Family</v>
      </c>
    </row>
    <row r="3" spans="1:8" x14ac:dyDescent="0.3">
      <c r="A3" s="2">
        <v>45870</v>
      </c>
      <c r="B3" t="s">
        <v>120</v>
      </c>
      <c r="C3" t="s">
        <v>7</v>
      </c>
      <c r="E3">
        <v>10</v>
      </c>
      <c r="F3">
        <v>86.3</v>
      </c>
      <c r="G3" t="s">
        <v>206</v>
      </c>
      <c r="H3" t="str">
        <f t="shared" si="0"/>
        <v>Friends &amp; Family</v>
      </c>
    </row>
    <row r="4" spans="1:8" x14ac:dyDescent="0.3">
      <c r="A4" s="2">
        <v>45873</v>
      </c>
      <c r="B4" t="s">
        <v>120</v>
      </c>
      <c r="C4" t="s">
        <v>7</v>
      </c>
      <c r="E4">
        <v>10</v>
      </c>
      <c r="F4">
        <v>76.3</v>
      </c>
      <c r="G4" t="s">
        <v>206</v>
      </c>
      <c r="H4" t="str">
        <f t="shared" si="0"/>
        <v>Friends &amp; Family</v>
      </c>
    </row>
    <row r="5" spans="1:8" x14ac:dyDescent="0.3">
      <c r="A5" s="2">
        <v>45873</v>
      </c>
      <c r="B5" t="s">
        <v>205</v>
      </c>
      <c r="C5" t="s">
        <v>7</v>
      </c>
      <c r="E5">
        <v>5</v>
      </c>
      <c r="F5">
        <v>71.3</v>
      </c>
      <c r="G5" t="s">
        <v>206</v>
      </c>
      <c r="H5" t="str">
        <f t="shared" si="0"/>
        <v>Friends &amp; Family</v>
      </c>
    </row>
    <row r="6" spans="1:8" x14ac:dyDescent="0.3">
      <c r="A6" s="2">
        <v>45873</v>
      </c>
      <c r="B6" t="s">
        <v>29</v>
      </c>
      <c r="C6" t="s">
        <v>14</v>
      </c>
      <c r="E6">
        <v>3</v>
      </c>
      <c r="F6">
        <v>68.3</v>
      </c>
      <c r="G6" t="s">
        <v>207</v>
      </c>
      <c r="H6" t="str">
        <f t="shared" si="0"/>
        <v>Fare / Travel</v>
      </c>
    </row>
    <row r="7" spans="1:8" x14ac:dyDescent="0.3">
      <c r="A7" s="2">
        <v>45873</v>
      </c>
      <c r="B7" t="s">
        <v>100</v>
      </c>
      <c r="C7" t="s">
        <v>14</v>
      </c>
      <c r="E7">
        <v>3</v>
      </c>
      <c r="F7">
        <v>65.3</v>
      </c>
      <c r="G7" t="s">
        <v>207</v>
      </c>
      <c r="H7" t="str">
        <f t="shared" si="0"/>
        <v>Fare / Travel</v>
      </c>
    </row>
    <row r="8" spans="1:8" x14ac:dyDescent="0.3">
      <c r="A8" s="2">
        <v>45873</v>
      </c>
      <c r="B8" t="s">
        <v>87</v>
      </c>
      <c r="C8" t="s">
        <v>14</v>
      </c>
      <c r="E8">
        <v>4.5</v>
      </c>
      <c r="F8">
        <v>60.8</v>
      </c>
      <c r="G8" t="s">
        <v>208</v>
      </c>
      <c r="H8" t="str">
        <f t="shared" si="0"/>
        <v>Shopping</v>
      </c>
    </row>
    <row r="9" spans="1:8" x14ac:dyDescent="0.3">
      <c r="A9" s="2">
        <v>45873</v>
      </c>
      <c r="B9" t="s">
        <v>169</v>
      </c>
      <c r="C9" t="s">
        <v>14</v>
      </c>
      <c r="E9">
        <v>11</v>
      </c>
      <c r="F9">
        <v>49.8</v>
      </c>
      <c r="G9" t="s">
        <v>207</v>
      </c>
      <c r="H9" t="str">
        <f t="shared" si="0"/>
        <v>Fare / Travel</v>
      </c>
    </row>
    <row r="10" spans="1:8" x14ac:dyDescent="0.3">
      <c r="A10" s="2">
        <v>45873</v>
      </c>
      <c r="B10" t="s">
        <v>177</v>
      </c>
      <c r="C10" t="s">
        <v>14</v>
      </c>
      <c r="E10">
        <v>1.49</v>
      </c>
      <c r="F10">
        <v>48.31</v>
      </c>
      <c r="G10" t="s">
        <v>208</v>
      </c>
      <c r="H10" t="str">
        <f t="shared" si="0"/>
        <v>Shopping</v>
      </c>
    </row>
    <row r="11" spans="1:8" x14ac:dyDescent="0.3">
      <c r="A11" s="2">
        <v>45873</v>
      </c>
      <c r="B11" t="s">
        <v>162</v>
      </c>
      <c r="C11" t="s">
        <v>14</v>
      </c>
      <c r="E11">
        <v>2</v>
      </c>
      <c r="F11">
        <v>46.31</v>
      </c>
      <c r="G11" t="s">
        <v>208</v>
      </c>
      <c r="H11" t="str">
        <f t="shared" si="0"/>
        <v>Shopping</v>
      </c>
    </row>
    <row r="12" spans="1:8" x14ac:dyDescent="0.3">
      <c r="A12" s="2">
        <v>45873</v>
      </c>
      <c r="B12" t="s">
        <v>17</v>
      </c>
      <c r="C12" t="s">
        <v>14</v>
      </c>
      <c r="E12">
        <v>6.35</v>
      </c>
      <c r="F12">
        <v>39.96</v>
      </c>
      <c r="G12" t="s">
        <v>208</v>
      </c>
      <c r="H12" t="str">
        <f t="shared" si="0"/>
        <v>Shopping</v>
      </c>
    </row>
    <row r="13" spans="1:8" x14ac:dyDescent="0.3">
      <c r="A13" s="2">
        <v>45873</v>
      </c>
      <c r="B13" t="s">
        <v>13</v>
      </c>
      <c r="C13" t="s">
        <v>14</v>
      </c>
      <c r="E13">
        <v>7.87</v>
      </c>
      <c r="F13">
        <v>32.090000000000003</v>
      </c>
      <c r="G13" t="s">
        <v>208</v>
      </c>
      <c r="H13" t="str">
        <f t="shared" si="0"/>
        <v>Shopping</v>
      </c>
    </row>
    <row r="14" spans="1:8" x14ac:dyDescent="0.3">
      <c r="A14" s="2">
        <v>45873</v>
      </c>
      <c r="B14" t="s">
        <v>132</v>
      </c>
      <c r="C14" t="s">
        <v>14</v>
      </c>
      <c r="E14">
        <v>12.78</v>
      </c>
      <c r="F14">
        <v>19.309999999999999</v>
      </c>
      <c r="G14" t="s">
        <v>209</v>
      </c>
      <c r="H14" t="str">
        <f t="shared" si="0"/>
        <v>Shopping</v>
      </c>
    </row>
    <row r="15" spans="1:8" x14ac:dyDescent="0.3">
      <c r="A15" s="2">
        <v>45874</v>
      </c>
      <c r="B15" t="s">
        <v>179</v>
      </c>
      <c r="C15" t="s">
        <v>14</v>
      </c>
      <c r="E15">
        <v>0.3</v>
      </c>
      <c r="F15">
        <v>19.010000000000002</v>
      </c>
      <c r="G15" t="s">
        <v>208</v>
      </c>
      <c r="H15" t="str">
        <f t="shared" si="0"/>
        <v>Shopping</v>
      </c>
    </row>
    <row r="16" spans="1:8" x14ac:dyDescent="0.3">
      <c r="A16" s="2">
        <v>45874</v>
      </c>
      <c r="B16" t="s">
        <v>87</v>
      </c>
      <c r="C16" t="s">
        <v>14</v>
      </c>
      <c r="E16">
        <v>2.75</v>
      </c>
      <c r="F16">
        <v>16.260000000000002</v>
      </c>
      <c r="G16" t="s">
        <v>208</v>
      </c>
      <c r="H16" t="str">
        <f t="shared" si="0"/>
        <v>Shopping</v>
      </c>
    </row>
    <row r="17" spans="1:8" x14ac:dyDescent="0.3">
      <c r="A17" s="2">
        <v>45874</v>
      </c>
      <c r="B17" t="s">
        <v>169</v>
      </c>
      <c r="C17" t="s">
        <v>14</v>
      </c>
      <c r="E17">
        <v>11</v>
      </c>
      <c r="F17">
        <v>5.26</v>
      </c>
      <c r="G17" t="s">
        <v>207</v>
      </c>
      <c r="H17" t="str">
        <f t="shared" si="0"/>
        <v>Fare / Travel</v>
      </c>
    </row>
    <row r="18" spans="1:8" x14ac:dyDescent="0.3">
      <c r="A18" s="2">
        <v>45874</v>
      </c>
      <c r="B18" t="s">
        <v>120</v>
      </c>
      <c r="C18" t="s">
        <v>68</v>
      </c>
      <c r="D18">
        <v>20</v>
      </c>
      <c r="F18">
        <v>25.26</v>
      </c>
      <c r="G18" t="s">
        <v>206</v>
      </c>
      <c r="H18" t="str">
        <f t="shared" si="0"/>
        <v>Friends &amp; Family</v>
      </c>
    </row>
    <row r="19" spans="1:8" x14ac:dyDescent="0.3">
      <c r="A19" s="2">
        <v>45874</v>
      </c>
      <c r="B19" t="s">
        <v>120</v>
      </c>
      <c r="C19" t="s">
        <v>68</v>
      </c>
      <c r="D19">
        <v>5</v>
      </c>
      <c r="F19">
        <v>30.26</v>
      </c>
      <c r="G19" t="s">
        <v>206</v>
      </c>
      <c r="H19" t="str">
        <f t="shared" si="0"/>
        <v>Friends &amp; Family</v>
      </c>
    </row>
    <row r="20" spans="1:8" x14ac:dyDescent="0.3">
      <c r="A20" s="2">
        <v>45875</v>
      </c>
      <c r="B20" t="s">
        <v>13</v>
      </c>
      <c r="C20" t="s">
        <v>14</v>
      </c>
      <c r="E20">
        <v>27.97</v>
      </c>
      <c r="F20">
        <v>2.29</v>
      </c>
      <c r="G20" t="s">
        <v>208</v>
      </c>
      <c r="H20" t="str">
        <f t="shared" si="0"/>
        <v>Shopping</v>
      </c>
    </row>
    <row r="21" spans="1:8" x14ac:dyDescent="0.3">
      <c r="A21" s="2">
        <v>45876</v>
      </c>
      <c r="B21" t="s">
        <v>120</v>
      </c>
      <c r="C21" t="s">
        <v>7</v>
      </c>
      <c r="E21">
        <v>2.29</v>
      </c>
      <c r="F21">
        <v>0</v>
      </c>
      <c r="G21" t="s">
        <v>206</v>
      </c>
      <c r="H21" t="str">
        <f t="shared" si="0"/>
        <v>Friends &amp; Family</v>
      </c>
    </row>
    <row r="22" spans="1:8" x14ac:dyDescent="0.3">
      <c r="A22" s="2">
        <v>45876</v>
      </c>
      <c r="B22" t="s">
        <v>120</v>
      </c>
      <c r="C22" t="s">
        <v>68</v>
      </c>
      <c r="D22">
        <v>18.760000000000002</v>
      </c>
      <c r="F22">
        <v>18.760000000000002</v>
      </c>
      <c r="G22" t="s">
        <v>206</v>
      </c>
      <c r="H22" t="str">
        <f t="shared" si="0"/>
        <v>Friends &amp; Family</v>
      </c>
    </row>
    <row r="23" spans="1:8" x14ac:dyDescent="0.3">
      <c r="A23" s="2">
        <v>45876</v>
      </c>
      <c r="B23" t="s">
        <v>119</v>
      </c>
      <c r="C23" t="s">
        <v>68</v>
      </c>
      <c r="D23">
        <v>5</v>
      </c>
      <c r="F23">
        <v>23.76</v>
      </c>
      <c r="G23" t="s">
        <v>206</v>
      </c>
      <c r="H23" t="str">
        <f t="shared" si="0"/>
        <v>Friends &amp; Family</v>
      </c>
    </row>
    <row r="24" spans="1:8" x14ac:dyDescent="0.3">
      <c r="A24" s="2">
        <v>45877</v>
      </c>
      <c r="B24" t="s">
        <v>122</v>
      </c>
      <c r="C24" t="s">
        <v>72</v>
      </c>
      <c r="D24">
        <v>168.6</v>
      </c>
      <c r="F24">
        <v>192.36</v>
      </c>
      <c r="G24" t="s">
        <v>210</v>
      </c>
      <c r="H24" t="str">
        <f t="shared" si="0"/>
        <v>Salary / Reimbursement</v>
      </c>
    </row>
    <row r="25" spans="1:8" x14ac:dyDescent="0.3">
      <c r="A25" s="2">
        <v>45877</v>
      </c>
      <c r="B25" t="s">
        <v>124</v>
      </c>
      <c r="C25" t="s">
        <v>68</v>
      </c>
      <c r="D25">
        <v>174.75</v>
      </c>
      <c r="F25">
        <v>367.11</v>
      </c>
      <c r="G25" t="s">
        <v>210</v>
      </c>
      <c r="H25" t="str">
        <f t="shared" si="0"/>
        <v>Salary / Reimbursement</v>
      </c>
    </row>
    <row r="26" spans="1:8" x14ac:dyDescent="0.3">
      <c r="A26" s="2">
        <v>45877</v>
      </c>
      <c r="B26" t="s">
        <v>29</v>
      </c>
      <c r="C26" t="s">
        <v>14</v>
      </c>
      <c r="E26">
        <v>3</v>
      </c>
      <c r="F26">
        <v>364.11</v>
      </c>
      <c r="G26" t="s">
        <v>207</v>
      </c>
      <c r="H26" t="str">
        <f t="shared" si="0"/>
        <v>Fare / Travel</v>
      </c>
    </row>
    <row r="27" spans="1:8" x14ac:dyDescent="0.3">
      <c r="A27" s="2">
        <v>45877</v>
      </c>
      <c r="B27" t="s">
        <v>185</v>
      </c>
      <c r="C27" t="s">
        <v>14</v>
      </c>
      <c r="E27">
        <v>19.48</v>
      </c>
      <c r="F27">
        <v>344.63</v>
      </c>
      <c r="G27" t="s">
        <v>209</v>
      </c>
      <c r="H27" t="str">
        <f t="shared" si="0"/>
        <v>Shopping</v>
      </c>
    </row>
    <row r="28" spans="1:8" x14ac:dyDescent="0.3">
      <c r="A28" s="2">
        <v>45880</v>
      </c>
      <c r="B28" t="s">
        <v>171</v>
      </c>
      <c r="C28" t="s">
        <v>7</v>
      </c>
      <c r="E28">
        <v>35</v>
      </c>
      <c r="F28">
        <v>309.63</v>
      </c>
      <c r="G28" t="s">
        <v>206</v>
      </c>
      <c r="H28" t="str">
        <f t="shared" si="0"/>
        <v>Friends &amp; Family</v>
      </c>
    </row>
    <row r="29" spans="1:8" x14ac:dyDescent="0.3">
      <c r="A29" s="2">
        <v>45880</v>
      </c>
      <c r="B29" t="s">
        <v>169</v>
      </c>
      <c r="C29" t="s">
        <v>14</v>
      </c>
      <c r="E29">
        <v>6.5</v>
      </c>
      <c r="F29">
        <v>303.13</v>
      </c>
      <c r="G29" t="s">
        <v>207</v>
      </c>
      <c r="H29" t="str">
        <f t="shared" si="0"/>
        <v>Fare / Travel</v>
      </c>
    </row>
    <row r="30" spans="1:8" x14ac:dyDescent="0.3">
      <c r="A30" s="2">
        <v>45880</v>
      </c>
      <c r="B30" t="s">
        <v>214</v>
      </c>
      <c r="C30" t="s">
        <v>14</v>
      </c>
      <c r="E30">
        <v>0.75</v>
      </c>
      <c r="F30">
        <v>302.38</v>
      </c>
      <c r="G30" t="s">
        <v>208</v>
      </c>
      <c r="H30" t="str">
        <f t="shared" si="0"/>
        <v>Shopping</v>
      </c>
    </row>
    <row r="31" spans="1:8" x14ac:dyDescent="0.3">
      <c r="A31" s="2">
        <v>45880</v>
      </c>
      <c r="B31" t="s">
        <v>13</v>
      </c>
      <c r="C31" t="s">
        <v>14</v>
      </c>
      <c r="E31">
        <v>2.89</v>
      </c>
      <c r="F31">
        <v>299.49</v>
      </c>
      <c r="G31" t="s">
        <v>208</v>
      </c>
      <c r="H31" t="str">
        <f t="shared" si="0"/>
        <v>Shopping</v>
      </c>
    </row>
    <row r="32" spans="1:8" x14ac:dyDescent="0.3">
      <c r="A32" s="2">
        <v>45880</v>
      </c>
      <c r="B32" t="s">
        <v>29</v>
      </c>
      <c r="C32" t="s">
        <v>14</v>
      </c>
      <c r="E32">
        <v>6</v>
      </c>
      <c r="F32">
        <v>293.49</v>
      </c>
      <c r="G32" t="s">
        <v>207</v>
      </c>
      <c r="H32" t="str">
        <f t="shared" si="0"/>
        <v>Fare / Travel</v>
      </c>
    </row>
    <row r="33" spans="1:8" x14ac:dyDescent="0.3">
      <c r="A33" s="2">
        <v>45880</v>
      </c>
      <c r="B33" t="s">
        <v>189</v>
      </c>
      <c r="C33" t="s">
        <v>14</v>
      </c>
      <c r="E33">
        <v>7</v>
      </c>
      <c r="F33">
        <v>286.49</v>
      </c>
      <c r="G33" t="s">
        <v>209</v>
      </c>
      <c r="H33" t="str">
        <f t="shared" si="0"/>
        <v>Shopping</v>
      </c>
    </row>
    <row r="34" spans="1:8" x14ac:dyDescent="0.3">
      <c r="A34" s="2">
        <v>45880</v>
      </c>
      <c r="B34" t="s">
        <v>173</v>
      </c>
      <c r="C34" t="s">
        <v>14</v>
      </c>
      <c r="E34">
        <v>41.47</v>
      </c>
      <c r="F34">
        <v>245.02</v>
      </c>
      <c r="G34" t="s">
        <v>208</v>
      </c>
      <c r="H34" t="str">
        <f t="shared" si="0"/>
        <v>Shopping</v>
      </c>
    </row>
    <row r="35" spans="1:8" x14ac:dyDescent="0.3">
      <c r="A35" s="2">
        <v>45880</v>
      </c>
      <c r="B35" t="s">
        <v>190</v>
      </c>
      <c r="C35" t="s">
        <v>14</v>
      </c>
      <c r="E35">
        <v>3.5</v>
      </c>
      <c r="F35">
        <v>241.52</v>
      </c>
      <c r="G35" t="s">
        <v>209</v>
      </c>
      <c r="H35" t="str">
        <f t="shared" si="0"/>
        <v>Shopping</v>
      </c>
    </row>
    <row r="36" spans="1:8" x14ac:dyDescent="0.3">
      <c r="A36" s="2">
        <v>45880</v>
      </c>
      <c r="B36" t="s">
        <v>29</v>
      </c>
      <c r="C36" t="s">
        <v>14</v>
      </c>
      <c r="E36">
        <v>3</v>
      </c>
      <c r="F36">
        <v>238.52</v>
      </c>
      <c r="G36" t="s">
        <v>207</v>
      </c>
      <c r="H36" t="str">
        <f t="shared" si="0"/>
        <v>Fare / Travel</v>
      </c>
    </row>
    <row r="37" spans="1:8" x14ac:dyDescent="0.3">
      <c r="A37" s="2">
        <v>45880</v>
      </c>
      <c r="B37" t="s">
        <v>52</v>
      </c>
      <c r="C37" t="s">
        <v>14</v>
      </c>
      <c r="E37">
        <v>8</v>
      </c>
      <c r="F37">
        <v>230.52</v>
      </c>
      <c r="G37" t="s">
        <v>208</v>
      </c>
      <c r="H37" t="str">
        <f t="shared" si="0"/>
        <v>Shopping</v>
      </c>
    </row>
    <row r="38" spans="1:8" x14ac:dyDescent="0.3">
      <c r="A38" s="2">
        <v>45881</v>
      </c>
      <c r="B38" t="s">
        <v>169</v>
      </c>
      <c r="C38" t="s">
        <v>14</v>
      </c>
      <c r="E38">
        <v>6.5</v>
      </c>
      <c r="F38">
        <v>224.02</v>
      </c>
      <c r="G38" t="s">
        <v>207</v>
      </c>
      <c r="H38" t="str">
        <f t="shared" si="0"/>
        <v>Fare / Travel</v>
      </c>
    </row>
    <row r="39" spans="1:8" x14ac:dyDescent="0.3">
      <c r="A39" s="2">
        <v>45881</v>
      </c>
      <c r="B39" t="s">
        <v>211</v>
      </c>
      <c r="C39" t="s">
        <v>7</v>
      </c>
      <c r="E39">
        <v>70</v>
      </c>
      <c r="F39">
        <v>154.02000000000001</v>
      </c>
      <c r="G39" t="s">
        <v>206</v>
      </c>
      <c r="H39" t="str">
        <f t="shared" si="0"/>
        <v>Friends &amp; Family</v>
      </c>
    </row>
    <row r="40" spans="1:8" x14ac:dyDescent="0.3">
      <c r="A40" s="2">
        <v>45882</v>
      </c>
      <c r="B40" t="s">
        <v>169</v>
      </c>
      <c r="C40" t="s">
        <v>14</v>
      </c>
      <c r="E40">
        <v>6.5</v>
      </c>
      <c r="F40">
        <v>147.52000000000001</v>
      </c>
      <c r="G40" t="s">
        <v>207</v>
      </c>
      <c r="H40" t="str">
        <f t="shared" si="0"/>
        <v>Fare / Travel</v>
      </c>
    </row>
    <row r="41" spans="1:8" x14ac:dyDescent="0.3">
      <c r="A41" s="2">
        <v>45883</v>
      </c>
      <c r="B41" t="s">
        <v>171</v>
      </c>
      <c r="C41" t="s">
        <v>68</v>
      </c>
      <c r="D41">
        <v>35</v>
      </c>
      <c r="F41">
        <v>182.52</v>
      </c>
      <c r="G41" t="s">
        <v>206</v>
      </c>
      <c r="H41" t="str">
        <f t="shared" si="0"/>
        <v>Friends &amp; Family</v>
      </c>
    </row>
    <row r="42" spans="1:8" x14ac:dyDescent="0.3">
      <c r="A42" s="2">
        <v>45883</v>
      </c>
      <c r="B42" t="s">
        <v>169</v>
      </c>
      <c r="C42" t="s">
        <v>14</v>
      </c>
      <c r="E42">
        <v>6.5</v>
      </c>
      <c r="F42">
        <v>176.02</v>
      </c>
      <c r="G42" t="s">
        <v>207</v>
      </c>
      <c r="H42" t="str">
        <f t="shared" si="0"/>
        <v>Fare / Travel</v>
      </c>
    </row>
    <row r="43" spans="1:8" x14ac:dyDescent="0.3">
      <c r="A43" s="2">
        <v>45884</v>
      </c>
      <c r="B43" t="s">
        <v>126</v>
      </c>
      <c r="C43" t="s">
        <v>72</v>
      </c>
      <c r="D43">
        <v>17.399999999999999</v>
      </c>
      <c r="F43">
        <v>193.42</v>
      </c>
      <c r="G43" t="s">
        <v>210</v>
      </c>
      <c r="H43" t="str">
        <f t="shared" si="0"/>
        <v>Salary / Reimbursement</v>
      </c>
    </row>
    <row r="44" spans="1:8" x14ac:dyDescent="0.3">
      <c r="A44" s="2">
        <v>45884</v>
      </c>
      <c r="B44" t="s">
        <v>124</v>
      </c>
      <c r="C44" t="s">
        <v>68</v>
      </c>
      <c r="D44">
        <v>195.85</v>
      </c>
      <c r="F44">
        <v>389.27</v>
      </c>
      <c r="G44" t="s">
        <v>210</v>
      </c>
      <c r="H44" t="str">
        <f t="shared" si="0"/>
        <v>Salary / Reimbursement</v>
      </c>
    </row>
    <row r="45" spans="1:8" x14ac:dyDescent="0.3">
      <c r="A45" s="2">
        <v>45884</v>
      </c>
      <c r="B45" t="s">
        <v>215</v>
      </c>
      <c r="C45" t="s">
        <v>14</v>
      </c>
      <c r="E45">
        <v>47.98</v>
      </c>
      <c r="F45">
        <v>341.29</v>
      </c>
      <c r="G45" t="s">
        <v>207</v>
      </c>
      <c r="H45" t="str">
        <f t="shared" si="0"/>
        <v>Fare / Travel</v>
      </c>
    </row>
    <row r="46" spans="1:8" x14ac:dyDescent="0.3">
      <c r="A46" s="2">
        <v>45887</v>
      </c>
      <c r="B46" t="s">
        <v>197</v>
      </c>
      <c r="C46" t="s">
        <v>14</v>
      </c>
      <c r="E46">
        <v>0.99</v>
      </c>
      <c r="F46">
        <v>340.3</v>
      </c>
      <c r="G46" t="s">
        <v>208</v>
      </c>
      <c r="H46" t="str">
        <f t="shared" si="0"/>
        <v>Shopping</v>
      </c>
    </row>
    <row r="47" spans="1:8" x14ac:dyDescent="0.3">
      <c r="A47" s="2">
        <v>45887</v>
      </c>
      <c r="B47" t="s">
        <v>29</v>
      </c>
      <c r="C47" t="s">
        <v>14</v>
      </c>
      <c r="E47">
        <v>2.5</v>
      </c>
      <c r="F47">
        <v>337.8</v>
      </c>
      <c r="G47" t="s">
        <v>207</v>
      </c>
      <c r="H47" t="str">
        <f t="shared" si="0"/>
        <v>Fare / Travel</v>
      </c>
    </row>
    <row r="48" spans="1:8" x14ac:dyDescent="0.3">
      <c r="A48" s="2">
        <v>45887</v>
      </c>
      <c r="B48" t="s">
        <v>29</v>
      </c>
      <c r="C48" t="s">
        <v>14</v>
      </c>
      <c r="E48">
        <v>3</v>
      </c>
      <c r="F48">
        <v>334.8</v>
      </c>
      <c r="G48" t="s">
        <v>207</v>
      </c>
      <c r="H48" t="str">
        <f t="shared" si="0"/>
        <v>Fare / Travel</v>
      </c>
    </row>
    <row r="49" spans="1:8" x14ac:dyDescent="0.3">
      <c r="A49" s="2">
        <v>45887</v>
      </c>
      <c r="B49" t="s">
        <v>169</v>
      </c>
      <c r="C49" t="s">
        <v>14</v>
      </c>
      <c r="E49">
        <v>6.5</v>
      </c>
      <c r="F49">
        <v>328.3</v>
      </c>
      <c r="G49" t="s">
        <v>207</v>
      </c>
      <c r="H49" t="str">
        <f t="shared" si="0"/>
        <v>Fare / Travel</v>
      </c>
    </row>
    <row r="50" spans="1:8" x14ac:dyDescent="0.3">
      <c r="A50" s="2">
        <v>45887</v>
      </c>
      <c r="B50" t="s">
        <v>199</v>
      </c>
      <c r="C50" t="s">
        <v>14</v>
      </c>
      <c r="E50">
        <v>34</v>
      </c>
      <c r="F50">
        <v>294.3</v>
      </c>
      <c r="G50" t="s">
        <v>209</v>
      </c>
      <c r="H50" t="str">
        <f t="shared" si="0"/>
        <v>Shopping</v>
      </c>
    </row>
    <row r="51" spans="1:8" x14ac:dyDescent="0.3">
      <c r="A51" s="2">
        <v>45887</v>
      </c>
      <c r="B51" t="s">
        <v>29</v>
      </c>
      <c r="C51" t="s">
        <v>14</v>
      </c>
      <c r="E51">
        <v>3</v>
      </c>
      <c r="F51">
        <v>291.3</v>
      </c>
      <c r="G51" t="s">
        <v>207</v>
      </c>
      <c r="H51" t="str">
        <f t="shared" si="0"/>
        <v>Fare / Travel</v>
      </c>
    </row>
    <row r="52" spans="1:8" x14ac:dyDescent="0.3">
      <c r="A52" s="2">
        <v>45887</v>
      </c>
      <c r="B52" t="s">
        <v>20</v>
      </c>
      <c r="C52" t="s">
        <v>21</v>
      </c>
      <c r="E52">
        <v>20</v>
      </c>
      <c r="F52">
        <v>271.3</v>
      </c>
      <c r="G52" t="s">
        <v>212</v>
      </c>
      <c r="H52" t="str">
        <f t="shared" si="0"/>
        <v>Mobile / Data</v>
      </c>
    </row>
    <row r="53" spans="1:8" x14ac:dyDescent="0.3">
      <c r="A53" s="2">
        <v>45887</v>
      </c>
      <c r="B53" t="s">
        <v>200</v>
      </c>
      <c r="C53" t="s">
        <v>14</v>
      </c>
      <c r="E53">
        <v>9</v>
      </c>
      <c r="F53">
        <v>262.3</v>
      </c>
      <c r="G53" t="s">
        <v>209</v>
      </c>
      <c r="H53" t="str">
        <f t="shared" si="0"/>
        <v>Shopping</v>
      </c>
    </row>
    <row r="54" spans="1:8" x14ac:dyDescent="0.3">
      <c r="A54" s="2">
        <v>45888</v>
      </c>
      <c r="B54" t="s">
        <v>169</v>
      </c>
      <c r="C54" t="s">
        <v>14</v>
      </c>
      <c r="E54">
        <v>6.5</v>
      </c>
      <c r="F54">
        <v>255.8</v>
      </c>
      <c r="G54" t="s">
        <v>207</v>
      </c>
      <c r="H54" t="str">
        <f t="shared" si="0"/>
        <v>Fare / Travel</v>
      </c>
    </row>
    <row r="55" spans="1:8" x14ac:dyDescent="0.3">
      <c r="A55" s="2">
        <v>45889</v>
      </c>
      <c r="B55" t="s">
        <v>123</v>
      </c>
      <c r="C55" t="s">
        <v>72</v>
      </c>
      <c r="D55">
        <v>6</v>
      </c>
      <c r="F55">
        <v>261.8</v>
      </c>
      <c r="G55" t="s">
        <v>207</v>
      </c>
      <c r="H55" t="str">
        <f t="shared" si="0"/>
        <v>Fare / Travel</v>
      </c>
    </row>
    <row r="56" spans="1:8" x14ac:dyDescent="0.3">
      <c r="A56" s="2">
        <v>45889</v>
      </c>
      <c r="B56" t="s">
        <v>123</v>
      </c>
      <c r="C56" t="s">
        <v>72</v>
      </c>
      <c r="D56">
        <v>6</v>
      </c>
      <c r="F56">
        <v>267.8</v>
      </c>
      <c r="G56" t="s">
        <v>207</v>
      </c>
      <c r="H56" t="str">
        <f t="shared" si="0"/>
        <v>Fare / Travel</v>
      </c>
    </row>
    <row r="57" spans="1:8" x14ac:dyDescent="0.3">
      <c r="A57" s="2">
        <v>45889</v>
      </c>
      <c r="B57" t="s">
        <v>119</v>
      </c>
      <c r="C57" t="s">
        <v>68</v>
      </c>
      <c r="D57">
        <v>270</v>
      </c>
      <c r="F57">
        <v>537.79999999999995</v>
      </c>
      <c r="G57" t="s">
        <v>206</v>
      </c>
      <c r="H57" t="str">
        <f t="shared" si="0"/>
        <v>Friends &amp; Family</v>
      </c>
    </row>
    <row r="58" spans="1:8" x14ac:dyDescent="0.3">
      <c r="A58" s="2">
        <v>45889</v>
      </c>
      <c r="B58" t="s">
        <v>125</v>
      </c>
      <c r="C58" t="s">
        <v>7</v>
      </c>
      <c r="E58">
        <v>500</v>
      </c>
      <c r="F58">
        <v>37.799999999999997</v>
      </c>
      <c r="G58" t="s">
        <v>213</v>
      </c>
      <c r="H58" t="str">
        <f t="shared" si="0"/>
        <v>Rent</v>
      </c>
    </row>
    <row r="59" spans="1:8" x14ac:dyDescent="0.3">
      <c r="A59" s="2">
        <v>45889</v>
      </c>
      <c r="B59" t="s">
        <v>163</v>
      </c>
      <c r="C59" t="s">
        <v>14</v>
      </c>
      <c r="E59">
        <v>0.99</v>
      </c>
      <c r="F59">
        <v>36.81</v>
      </c>
      <c r="G59" t="s">
        <v>212</v>
      </c>
      <c r="H59" t="str">
        <f t="shared" si="0"/>
        <v>Mobile / Data</v>
      </c>
    </row>
    <row r="60" spans="1:8" x14ac:dyDescent="0.3">
      <c r="A60" s="2">
        <v>45889</v>
      </c>
      <c r="B60" t="s">
        <v>169</v>
      </c>
      <c r="C60" t="s">
        <v>14</v>
      </c>
      <c r="E60">
        <v>6.5</v>
      </c>
      <c r="F60">
        <v>30.31</v>
      </c>
      <c r="G60" t="s">
        <v>207</v>
      </c>
      <c r="H60" t="str">
        <f t="shared" si="0"/>
        <v>Fare / Travel</v>
      </c>
    </row>
    <row r="61" spans="1:8" x14ac:dyDescent="0.3">
      <c r="A61" s="2">
        <v>45890</v>
      </c>
      <c r="B61" t="s">
        <v>169</v>
      </c>
      <c r="C61" t="s">
        <v>14</v>
      </c>
      <c r="E61">
        <v>6.5</v>
      </c>
      <c r="F61">
        <v>23.81</v>
      </c>
      <c r="G61" t="s">
        <v>207</v>
      </c>
      <c r="H61" t="str">
        <f t="shared" si="0"/>
        <v>Fare / Travel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D0C5-2CB6-4BED-9F5F-1EDD8D630DB8}">
  <dimension ref="A1:I160"/>
  <sheetViews>
    <sheetView workbookViewId="0">
      <selection activeCell="E21" sqref="E21"/>
    </sheetView>
  </sheetViews>
  <sheetFormatPr defaultRowHeight="14.4" x14ac:dyDescent="0.3"/>
  <cols>
    <col min="1" max="1" width="16.5546875" style="2" bestFit="1" customWidth="1"/>
    <col min="2" max="2" width="16.5546875" style="2" hidden="1" customWidth="1"/>
    <col min="3" max="3" width="20.5546875" bestFit="1" customWidth="1"/>
    <col min="4" max="4" width="11.44140625" bestFit="1" customWidth="1"/>
    <col min="5" max="5" width="15.109375" style="3" bestFit="1" customWidth="1"/>
    <col min="6" max="6" width="16.5546875" style="3" bestFit="1" customWidth="1"/>
    <col min="7" max="7" width="16.21875" style="3" bestFit="1" customWidth="1"/>
    <col min="8" max="8" width="15.33203125" bestFit="1" customWidth="1"/>
    <col min="9" max="9" width="20.21875" bestFit="1" customWidth="1"/>
  </cols>
  <sheetData>
    <row r="1" spans="1:9" x14ac:dyDescent="0.3">
      <c r="A1" s="2" t="s">
        <v>231</v>
      </c>
      <c r="B1" s="2" t="s">
        <v>218</v>
      </c>
      <c r="C1" t="s">
        <v>1</v>
      </c>
      <c r="D1" t="s">
        <v>2</v>
      </c>
      <c r="E1" s="3" t="s">
        <v>113</v>
      </c>
      <c r="F1" s="3" t="s">
        <v>114</v>
      </c>
      <c r="G1" s="3" t="s">
        <v>116</v>
      </c>
      <c r="H1" t="s">
        <v>229</v>
      </c>
      <c r="I1" t="s">
        <v>230</v>
      </c>
    </row>
    <row r="2" spans="1:9" x14ac:dyDescent="0.3">
      <c r="A2" s="2">
        <v>45810</v>
      </c>
      <c r="B2" s="2" t="s">
        <v>219</v>
      </c>
      <c r="C2" t="s">
        <v>120</v>
      </c>
      <c r="D2" t="s">
        <v>68</v>
      </c>
      <c r="E2" s="3">
        <v>30</v>
      </c>
      <c r="G2" s="3">
        <v>30.87</v>
      </c>
      <c r="H2" t="str">
        <f t="shared" ref="H2:H37" si="0">IF(ISNUMBER(SEARCH("IR",C2)),"Transport",
IF(ISNUMBER(SEARCH("ARRIVA",C2)),"Transport",
IF(ISNUMBER(SEARCH("Zettle",C2)),"Transport",
IF(ISNUMBER(SEARCH("ULP",C2)),"Rent",
IF(OR(ISNUMBER(SEARCH("NEW SEASON CASH",C2)),ISNUMBER(SEARCH("ALDI",C2)),ISNUMBER(SEARCH("B&amp;M",C2)),ISNUMBER(SEARCH("POUNDLAND",C2)),ISNUMBER(SEARCH("DAILY CATCH",C2)),ISNUMBER(SEARCH("ME2",C2)),ISNUMBER(SEARCH("Nisa",C2)),ISNUMBER(SEARCH("KENT CASH AND CARR",C2))),"Groceries",
IF(OR(ISNUMBER(SEARCH("KP",C2)),ISNUMBER(SEARCH("CUL",C2)),ISNUMBER(SEARCH("RETAIL A",C2))),"Income",
IF(OR(ISNUMBER(SEARCH("CN",C2)),ISNUMBER(SEARCH("OO",C2)),ISNUMBER(SEARCH("BS",C2))),"Personal",
IF(ISNUMBER(SEARCH("LEMFI",C2)),"Personal",
IF(ISNUMBER(SEARCH("H3G",C2)),"Utilities",
IF(ISNUMBER(SEARCH("MOOBOO",C2)),"Entertainment","Other"))))))))))</f>
        <v>Personal</v>
      </c>
      <c r="I2" t="str">
        <f t="shared" ref="I2:I37" si="1">IF(H2="Transport","Fare / Travel",
IF(H2="Rent/Utilities","Rent",
IF(H2="Groceries","Shopping",
IF(H2="Income","Salary / Reimbursement",
IF(H2="Personal",
IF(OR(ISNUMBER(SEARCH("LEMFI",C2)),"Exchange"),"Exchange","Friends &amp; Family"),
IF(H2="Utilities","Mobile / Data",
IF(H2="Entertainment","Fun / Treats","Other")))))))</f>
        <v>Friends &amp; Family</v>
      </c>
    </row>
    <row r="3" spans="1:9" x14ac:dyDescent="0.3">
      <c r="A3" s="2">
        <v>45810</v>
      </c>
      <c r="B3" s="2" t="s">
        <v>219</v>
      </c>
      <c r="C3" t="s">
        <v>123</v>
      </c>
      <c r="D3" t="s">
        <v>72</v>
      </c>
      <c r="E3" s="3">
        <v>3</v>
      </c>
      <c r="G3" s="3">
        <v>33.869999999999997</v>
      </c>
      <c r="H3" t="str">
        <f t="shared" si="0"/>
        <v>Transport</v>
      </c>
      <c r="I3" t="str">
        <f t="shared" si="1"/>
        <v>Fare / Travel</v>
      </c>
    </row>
    <row r="4" spans="1:9" x14ac:dyDescent="0.3">
      <c r="A4" s="2">
        <v>45810</v>
      </c>
      <c r="B4" s="2" t="s">
        <v>219</v>
      </c>
      <c r="C4" t="s">
        <v>123</v>
      </c>
      <c r="D4" t="s">
        <v>72</v>
      </c>
      <c r="E4" s="3">
        <v>5.7</v>
      </c>
      <c r="G4" s="3">
        <v>39.57</v>
      </c>
      <c r="H4" t="str">
        <f t="shared" si="0"/>
        <v>Transport</v>
      </c>
      <c r="I4" t="str">
        <f t="shared" si="1"/>
        <v>Fare / Travel</v>
      </c>
    </row>
    <row r="5" spans="1:9" x14ac:dyDescent="0.3">
      <c r="A5" s="2">
        <v>45810</v>
      </c>
      <c r="B5" s="2" t="s">
        <v>219</v>
      </c>
      <c r="C5" t="s">
        <v>123</v>
      </c>
      <c r="D5" t="s">
        <v>72</v>
      </c>
      <c r="E5" s="3">
        <v>6</v>
      </c>
      <c r="G5" s="3">
        <v>45.57</v>
      </c>
      <c r="H5" t="str">
        <f t="shared" si="0"/>
        <v>Transport</v>
      </c>
      <c r="I5" t="str">
        <f t="shared" si="1"/>
        <v>Fare / Travel</v>
      </c>
    </row>
    <row r="6" spans="1:9" x14ac:dyDescent="0.3">
      <c r="A6" s="2">
        <v>45814</v>
      </c>
      <c r="B6" s="2" t="s">
        <v>219</v>
      </c>
      <c r="C6" t="s">
        <v>124</v>
      </c>
      <c r="D6" t="s">
        <v>68</v>
      </c>
      <c r="E6" s="3">
        <v>233.37</v>
      </c>
      <c r="G6" s="3">
        <v>278.94</v>
      </c>
      <c r="H6" t="str">
        <f t="shared" si="0"/>
        <v>Income</v>
      </c>
      <c r="I6" t="str">
        <f t="shared" si="1"/>
        <v>Salary / Reimbursement</v>
      </c>
    </row>
    <row r="7" spans="1:9" x14ac:dyDescent="0.3">
      <c r="A7" s="2">
        <v>45817</v>
      </c>
      <c r="B7" s="2" t="s">
        <v>219</v>
      </c>
      <c r="C7" t="s">
        <v>83</v>
      </c>
      <c r="D7" t="s">
        <v>14</v>
      </c>
      <c r="F7" s="3">
        <v>7</v>
      </c>
      <c r="G7" s="3">
        <v>271.94</v>
      </c>
      <c r="H7" t="str">
        <f t="shared" si="0"/>
        <v>Groceries</v>
      </c>
      <c r="I7" t="str">
        <f t="shared" si="1"/>
        <v>Shopping</v>
      </c>
    </row>
    <row r="8" spans="1:9" x14ac:dyDescent="0.3">
      <c r="A8" s="2">
        <v>45817</v>
      </c>
      <c r="B8" s="2" t="s">
        <v>219</v>
      </c>
      <c r="C8" t="s">
        <v>87</v>
      </c>
      <c r="D8" t="s">
        <v>14</v>
      </c>
      <c r="F8" s="3">
        <v>7</v>
      </c>
      <c r="G8" s="3">
        <v>264.94</v>
      </c>
      <c r="H8" t="str">
        <f t="shared" si="0"/>
        <v>Groceries</v>
      </c>
      <c r="I8" t="str">
        <f t="shared" si="1"/>
        <v>Shopping</v>
      </c>
    </row>
    <row r="9" spans="1:9" x14ac:dyDescent="0.3">
      <c r="A9" s="2">
        <v>45817</v>
      </c>
      <c r="B9" s="2" t="s">
        <v>219</v>
      </c>
      <c r="C9" t="s">
        <v>90</v>
      </c>
      <c r="D9" t="s">
        <v>14</v>
      </c>
      <c r="F9" s="3">
        <v>8</v>
      </c>
      <c r="G9" s="3">
        <v>256.94</v>
      </c>
      <c r="H9" t="str">
        <f t="shared" si="0"/>
        <v>Groceries</v>
      </c>
      <c r="I9" t="str">
        <f t="shared" si="1"/>
        <v>Shopping</v>
      </c>
    </row>
    <row r="10" spans="1:9" x14ac:dyDescent="0.3">
      <c r="A10" s="2">
        <v>45817</v>
      </c>
      <c r="B10" s="2" t="s">
        <v>219</v>
      </c>
      <c r="C10" t="s">
        <v>13</v>
      </c>
      <c r="D10" t="s">
        <v>14</v>
      </c>
      <c r="F10" s="3">
        <v>9.67</v>
      </c>
      <c r="G10" s="3">
        <v>247.27</v>
      </c>
      <c r="H10" t="str">
        <f t="shared" si="0"/>
        <v>Groceries</v>
      </c>
      <c r="I10" t="str">
        <f t="shared" si="1"/>
        <v>Shopping</v>
      </c>
    </row>
    <row r="11" spans="1:9" x14ac:dyDescent="0.3">
      <c r="A11" s="2">
        <v>45817</v>
      </c>
      <c r="B11" s="2" t="s">
        <v>219</v>
      </c>
      <c r="C11" t="s">
        <v>13</v>
      </c>
      <c r="D11" t="s">
        <v>14</v>
      </c>
      <c r="F11" s="3">
        <v>32.67</v>
      </c>
      <c r="G11" s="3">
        <v>214.6</v>
      </c>
      <c r="H11" t="str">
        <f t="shared" si="0"/>
        <v>Groceries</v>
      </c>
      <c r="I11" t="str">
        <f t="shared" si="1"/>
        <v>Shopping</v>
      </c>
    </row>
    <row r="12" spans="1:9" x14ac:dyDescent="0.3">
      <c r="A12" s="2">
        <v>45817</v>
      </c>
      <c r="B12" s="2" t="s">
        <v>219</v>
      </c>
      <c r="C12" t="s">
        <v>97</v>
      </c>
      <c r="D12" t="s">
        <v>14</v>
      </c>
      <c r="F12" s="3">
        <v>16.7</v>
      </c>
      <c r="G12" s="3">
        <v>197.9</v>
      </c>
      <c r="H12" t="str">
        <f t="shared" si="0"/>
        <v>Groceries</v>
      </c>
      <c r="I12" t="str">
        <f t="shared" si="1"/>
        <v>Shopping</v>
      </c>
    </row>
    <row r="13" spans="1:9" x14ac:dyDescent="0.3">
      <c r="A13" s="2">
        <v>45817</v>
      </c>
      <c r="B13" s="2" t="s">
        <v>219</v>
      </c>
      <c r="C13" t="s">
        <v>29</v>
      </c>
      <c r="D13" t="s">
        <v>14</v>
      </c>
      <c r="F13" s="3">
        <v>3</v>
      </c>
      <c r="G13" s="3">
        <v>194.9</v>
      </c>
      <c r="H13" t="str">
        <f t="shared" si="0"/>
        <v>Transport</v>
      </c>
      <c r="I13" t="str">
        <f t="shared" si="1"/>
        <v>Fare / Travel</v>
      </c>
    </row>
    <row r="14" spans="1:9" x14ac:dyDescent="0.3">
      <c r="A14" s="2">
        <v>45818</v>
      </c>
      <c r="B14" s="2" t="s">
        <v>219</v>
      </c>
      <c r="C14" t="s">
        <v>123</v>
      </c>
      <c r="D14" t="s">
        <v>72</v>
      </c>
      <c r="E14" s="3">
        <v>6</v>
      </c>
      <c r="G14" s="3">
        <v>200.9</v>
      </c>
      <c r="H14" t="str">
        <f t="shared" si="0"/>
        <v>Transport</v>
      </c>
      <c r="I14" t="str">
        <f t="shared" si="1"/>
        <v>Fare / Travel</v>
      </c>
    </row>
    <row r="15" spans="1:9" x14ac:dyDescent="0.3">
      <c r="A15" s="2">
        <v>45821</v>
      </c>
      <c r="B15" s="2" t="s">
        <v>219</v>
      </c>
      <c r="C15" t="s">
        <v>122</v>
      </c>
      <c r="D15" t="s">
        <v>72</v>
      </c>
      <c r="E15" s="3">
        <v>117.41</v>
      </c>
      <c r="G15" s="3">
        <v>318.31</v>
      </c>
      <c r="H15" t="str">
        <f t="shared" si="0"/>
        <v>Income</v>
      </c>
      <c r="I15" t="str">
        <f t="shared" si="1"/>
        <v>Salary / Reimbursement</v>
      </c>
    </row>
    <row r="16" spans="1:9" x14ac:dyDescent="0.3">
      <c r="A16" s="2">
        <v>45821</v>
      </c>
      <c r="B16" s="2" t="s">
        <v>219</v>
      </c>
      <c r="C16" t="s">
        <v>126</v>
      </c>
      <c r="D16" t="s">
        <v>72</v>
      </c>
      <c r="E16" s="3">
        <v>420.06</v>
      </c>
      <c r="G16" s="3">
        <v>738.37</v>
      </c>
      <c r="H16" t="str">
        <f t="shared" si="0"/>
        <v>Income</v>
      </c>
      <c r="I16" t="str">
        <f t="shared" si="1"/>
        <v>Salary / Reimbursement</v>
      </c>
    </row>
    <row r="17" spans="1:9" x14ac:dyDescent="0.3">
      <c r="A17" s="2">
        <v>45824</v>
      </c>
      <c r="B17" s="2" t="s">
        <v>219</v>
      </c>
      <c r="C17" t="s">
        <v>119</v>
      </c>
      <c r="D17" t="s">
        <v>7</v>
      </c>
      <c r="F17" s="3">
        <v>20</v>
      </c>
      <c r="G17" s="3">
        <v>718.37</v>
      </c>
      <c r="H17" t="str">
        <f t="shared" si="0"/>
        <v>Personal</v>
      </c>
      <c r="I17" t="str">
        <f t="shared" si="1"/>
        <v>Friends &amp; Family</v>
      </c>
    </row>
    <row r="18" spans="1:9" x14ac:dyDescent="0.3">
      <c r="A18" s="2">
        <v>45824</v>
      </c>
      <c r="B18" s="2" t="s">
        <v>219</v>
      </c>
      <c r="C18" t="s">
        <v>4</v>
      </c>
      <c r="D18" t="s">
        <v>115</v>
      </c>
      <c r="E18" s="3">
        <v>20</v>
      </c>
      <c r="G18" s="3">
        <v>738.37</v>
      </c>
      <c r="H18" t="str">
        <f t="shared" si="0"/>
        <v>Personal</v>
      </c>
      <c r="I18" t="str">
        <f t="shared" si="1"/>
        <v>Exchange</v>
      </c>
    </row>
    <row r="19" spans="1:9" x14ac:dyDescent="0.3">
      <c r="A19" s="2">
        <v>45824</v>
      </c>
      <c r="B19" s="2" t="s">
        <v>219</v>
      </c>
      <c r="C19" t="s">
        <v>119</v>
      </c>
      <c r="D19" t="s">
        <v>7</v>
      </c>
      <c r="F19" s="3">
        <v>20</v>
      </c>
      <c r="G19" s="3">
        <v>718.37</v>
      </c>
      <c r="H19" t="str">
        <f t="shared" si="0"/>
        <v>Personal</v>
      </c>
      <c r="I19" t="str">
        <f t="shared" si="1"/>
        <v>Friends &amp; Family</v>
      </c>
    </row>
    <row r="20" spans="1:9" x14ac:dyDescent="0.3">
      <c r="A20" s="2">
        <v>45824</v>
      </c>
      <c r="B20" s="2" t="s">
        <v>219</v>
      </c>
      <c r="C20" t="s">
        <v>120</v>
      </c>
      <c r="D20" t="s">
        <v>7</v>
      </c>
      <c r="F20" s="3">
        <v>5</v>
      </c>
      <c r="G20" s="3">
        <v>713.37</v>
      </c>
      <c r="H20" t="str">
        <f t="shared" si="0"/>
        <v>Personal</v>
      </c>
      <c r="I20" t="str">
        <f t="shared" si="1"/>
        <v>Friends &amp; Family</v>
      </c>
    </row>
    <row r="21" spans="1:9" x14ac:dyDescent="0.3">
      <c r="A21" s="2">
        <v>45824</v>
      </c>
      <c r="B21" s="2" t="s">
        <v>219</v>
      </c>
      <c r="C21" t="s">
        <v>13</v>
      </c>
      <c r="D21" t="s">
        <v>14</v>
      </c>
      <c r="F21" s="3">
        <v>7.48</v>
      </c>
      <c r="G21" s="3">
        <v>705.89</v>
      </c>
      <c r="H21" t="str">
        <f t="shared" si="0"/>
        <v>Groceries</v>
      </c>
      <c r="I21" t="str">
        <f t="shared" si="1"/>
        <v>Shopping</v>
      </c>
    </row>
    <row r="22" spans="1:9" x14ac:dyDescent="0.3">
      <c r="A22" s="2">
        <v>45824</v>
      </c>
      <c r="B22" s="2" t="s">
        <v>219</v>
      </c>
      <c r="C22" t="s">
        <v>17</v>
      </c>
      <c r="D22" t="s">
        <v>14</v>
      </c>
      <c r="F22" s="3">
        <v>8.09</v>
      </c>
      <c r="G22" s="3">
        <v>697.8</v>
      </c>
      <c r="H22" t="str">
        <f t="shared" si="0"/>
        <v>Groceries</v>
      </c>
      <c r="I22" t="str">
        <f t="shared" si="1"/>
        <v>Shopping</v>
      </c>
    </row>
    <row r="23" spans="1:9" x14ac:dyDescent="0.3">
      <c r="A23" s="2">
        <v>45824</v>
      </c>
      <c r="B23" s="2" t="s">
        <v>219</v>
      </c>
      <c r="C23" t="s">
        <v>20</v>
      </c>
      <c r="D23" t="s">
        <v>21</v>
      </c>
      <c r="F23" s="3">
        <v>23.99</v>
      </c>
      <c r="G23" s="3">
        <v>673.81</v>
      </c>
      <c r="H23" t="str">
        <f t="shared" si="0"/>
        <v>Utilities</v>
      </c>
      <c r="I23" t="str">
        <f t="shared" si="1"/>
        <v>Mobile / Data</v>
      </c>
    </row>
    <row r="24" spans="1:9" x14ac:dyDescent="0.3">
      <c r="A24" s="2">
        <v>45824</v>
      </c>
      <c r="B24" s="2" t="s">
        <v>219</v>
      </c>
      <c r="C24" t="s">
        <v>216</v>
      </c>
      <c r="D24" t="s">
        <v>14</v>
      </c>
      <c r="F24" s="3">
        <v>1.25</v>
      </c>
      <c r="G24" s="3">
        <v>672.56</v>
      </c>
      <c r="H24" t="str">
        <f t="shared" si="0"/>
        <v>Groceries</v>
      </c>
      <c r="I24" t="str">
        <f t="shared" si="1"/>
        <v>Shopping</v>
      </c>
    </row>
    <row r="25" spans="1:9" x14ac:dyDescent="0.3">
      <c r="A25" s="2">
        <v>45827</v>
      </c>
      <c r="B25" s="2" t="s">
        <v>219</v>
      </c>
      <c r="C25" t="s">
        <v>29</v>
      </c>
      <c r="D25" t="s">
        <v>14</v>
      </c>
      <c r="F25" s="3">
        <v>3</v>
      </c>
      <c r="G25" s="3">
        <v>669.56</v>
      </c>
      <c r="H25" t="str">
        <f t="shared" si="0"/>
        <v>Transport</v>
      </c>
      <c r="I25" t="str">
        <f t="shared" si="1"/>
        <v>Fare / Travel</v>
      </c>
    </row>
    <row r="26" spans="1:9" x14ac:dyDescent="0.3">
      <c r="A26" s="2">
        <v>45827</v>
      </c>
      <c r="B26" s="2" t="s">
        <v>219</v>
      </c>
      <c r="C26" t="s">
        <v>29</v>
      </c>
      <c r="D26" t="s">
        <v>14</v>
      </c>
      <c r="F26" s="3">
        <v>3</v>
      </c>
      <c r="G26" s="3">
        <v>666.56</v>
      </c>
      <c r="H26" t="str">
        <f t="shared" si="0"/>
        <v>Transport</v>
      </c>
      <c r="I26" t="str">
        <f t="shared" si="1"/>
        <v>Fare / Travel</v>
      </c>
    </row>
    <row r="27" spans="1:9" x14ac:dyDescent="0.3">
      <c r="A27" s="2">
        <v>45828</v>
      </c>
      <c r="B27" s="2" t="s">
        <v>219</v>
      </c>
      <c r="C27" t="s">
        <v>125</v>
      </c>
      <c r="D27" t="s">
        <v>7</v>
      </c>
      <c r="F27" s="3">
        <v>500</v>
      </c>
      <c r="G27" s="3">
        <v>166.56</v>
      </c>
      <c r="H27" t="str">
        <f t="shared" si="0"/>
        <v>Rent</v>
      </c>
      <c r="I27" t="str">
        <f t="shared" si="1"/>
        <v>Other</v>
      </c>
    </row>
    <row r="28" spans="1:9" x14ac:dyDescent="0.3">
      <c r="A28" s="2">
        <v>45828</v>
      </c>
      <c r="B28" s="2" t="s">
        <v>219</v>
      </c>
      <c r="C28" t="s">
        <v>37</v>
      </c>
      <c r="D28" t="s">
        <v>14</v>
      </c>
      <c r="F28" s="3">
        <v>1.75</v>
      </c>
      <c r="G28" s="3">
        <v>164.81</v>
      </c>
      <c r="H28" t="str">
        <f t="shared" si="0"/>
        <v>Groceries</v>
      </c>
      <c r="I28" t="str">
        <f t="shared" si="1"/>
        <v>Shopping</v>
      </c>
    </row>
    <row r="29" spans="1:9" x14ac:dyDescent="0.3">
      <c r="A29" s="2">
        <v>45831</v>
      </c>
      <c r="B29" s="2" t="s">
        <v>219</v>
      </c>
      <c r="C29" t="s">
        <v>13</v>
      </c>
      <c r="D29" t="s">
        <v>14</v>
      </c>
      <c r="F29" s="3">
        <v>49.42</v>
      </c>
      <c r="G29" s="3">
        <v>115.39</v>
      </c>
      <c r="H29" t="str">
        <f t="shared" si="0"/>
        <v>Groceries</v>
      </c>
      <c r="I29" t="str">
        <f t="shared" si="1"/>
        <v>Shopping</v>
      </c>
    </row>
    <row r="30" spans="1:9" x14ac:dyDescent="0.3">
      <c r="A30" s="2">
        <v>45834</v>
      </c>
      <c r="B30" s="2" t="s">
        <v>219</v>
      </c>
      <c r="C30" t="s">
        <v>121</v>
      </c>
      <c r="D30" t="s">
        <v>7</v>
      </c>
      <c r="F30" s="3">
        <v>40</v>
      </c>
      <c r="G30" s="3">
        <v>75.39</v>
      </c>
      <c r="H30" t="str">
        <f t="shared" si="0"/>
        <v>Personal</v>
      </c>
      <c r="I30" t="str">
        <f t="shared" si="1"/>
        <v>Friends &amp; Family</v>
      </c>
    </row>
    <row r="31" spans="1:9" x14ac:dyDescent="0.3">
      <c r="A31" s="2">
        <v>45834</v>
      </c>
      <c r="B31" s="2" t="s">
        <v>219</v>
      </c>
      <c r="C31" t="s">
        <v>49</v>
      </c>
      <c r="D31" t="s">
        <v>14</v>
      </c>
      <c r="F31" s="3">
        <v>6.39</v>
      </c>
      <c r="G31" s="3">
        <v>69</v>
      </c>
      <c r="H31" t="str">
        <f t="shared" si="0"/>
        <v>Groceries</v>
      </c>
      <c r="I31" t="str">
        <f t="shared" si="1"/>
        <v>Shopping</v>
      </c>
    </row>
    <row r="32" spans="1:9" x14ac:dyDescent="0.3">
      <c r="A32" s="2">
        <v>45834</v>
      </c>
      <c r="B32" s="2" t="s">
        <v>219</v>
      </c>
      <c r="C32" t="s">
        <v>52</v>
      </c>
      <c r="D32" t="s">
        <v>14</v>
      </c>
      <c r="F32" s="3">
        <v>21.98</v>
      </c>
      <c r="G32" s="3">
        <v>47.02</v>
      </c>
      <c r="H32" t="str">
        <f t="shared" si="0"/>
        <v>Groceries</v>
      </c>
      <c r="I32" t="str">
        <f t="shared" si="1"/>
        <v>Shopping</v>
      </c>
    </row>
    <row r="33" spans="1:9" x14ac:dyDescent="0.3">
      <c r="A33" s="2">
        <v>45838</v>
      </c>
      <c r="B33" s="2" t="s">
        <v>219</v>
      </c>
      <c r="C33" t="s">
        <v>29</v>
      </c>
      <c r="D33" t="s">
        <v>14</v>
      </c>
      <c r="F33" s="3">
        <v>3</v>
      </c>
      <c r="G33" s="3">
        <v>44.02</v>
      </c>
      <c r="H33" t="str">
        <f t="shared" si="0"/>
        <v>Transport</v>
      </c>
      <c r="I33" t="str">
        <f t="shared" si="1"/>
        <v>Fare / Travel</v>
      </c>
    </row>
    <row r="34" spans="1:9" x14ac:dyDescent="0.3">
      <c r="A34" s="2">
        <v>45838</v>
      </c>
      <c r="B34" s="2" t="s">
        <v>219</v>
      </c>
      <c r="C34" t="s">
        <v>29</v>
      </c>
      <c r="D34" t="s">
        <v>14</v>
      </c>
      <c r="F34" s="3">
        <v>3</v>
      </c>
      <c r="G34" s="3">
        <v>41.02</v>
      </c>
      <c r="H34" t="str">
        <f t="shared" si="0"/>
        <v>Transport</v>
      </c>
      <c r="I34" t="str">
        <f t="shared" si="1"/>
        <v>Fare / Travel</v>
      </c>
    </row>
    <row r="35" spans="1:9" x14ac:dyDescent="0.3">
      <c r="A35" s="2">
        <v>45838</v>
      </c>
      <c r="B35" s="2" t="s">
        <v>219</v>
      </c>
      <c r="C35" t="s">
        <v>169</v>
      </c>
      <c r="D35" t="s">
        <v>14</v>
      </c>
      <c r="F35" s="3">
        <v>6.5</v>
      </c>
      <c r="G35" s="3">
        <v>34.520000000000003</v>
      </c>
      <c r="H35" t="str">
        <f t="shared" si="0"/>
        <v>Transport</v>
      </c>
      <c r="I35" t="str">
        <f t="shared" si="1"/>
        <v>Fare / Travel</v>
      </c>
    </row>
    <row r="36" spans="1:9" x14ac:dyDescent="0.3">
      <c r="A36" s="2">
        <v>45838</v>
      </c>
      <c r="B36" s="2" t="s">
        <v>219</v>
      </c>
      <c r="C36" t="s">
        <v>217</v>
      </c>
      <c r="D36" t="s">
        <v>14</v>
      </c>
      <c r="F36" s="3">
        <v>6</v>
      </c>
      <c r="G36" s="3">
        <v>28.52</v>
      </c>
      <c r="H36" t="str">
        <f t="shared" si="0"/>
        <v>Personal</v>
      </c>
      <c r="I36" t="str">
        <f t="shared" si="1"/>
        <v>Friends &amp; Family</v>
      </c>
    </row>
    <row r="37" spans="1:9" x14ac:dyDescent="0.3">
      <c r="A37" s="2">
        <v>45838</v>
      </c>
      <c r="B37" s="2" t="s">
        <v>219</v>
      </c>
      <c r="C37" t="s">
        <v>13</v>
      </c>
      <c r="D37" t="s">
        <v>14</v>
      </c>
      <c r="F37" s="3">
        <v>8.98</v>
      </c>
      <c r="G37" s="3">
        <v>19.54</v>
      </c>
      <c r="H37" t="str">
        <f t="shared" si="0"/>
        <v>Groceries</v>
      </c>
      <c r="I37" t="str">
        <f t="shared" si="1"/>
        <v>Shopping</v>
      </c>
    </row>
    <row r="38" spans="1:9" x14ac:dyDescent="0.3">
      <c r="A38" s="2">
        <v>45841</v>
      </c>
      <c r="B38" s="2" t="s">
        <v>220</v>
      </c>
      <c r="C38" t="s">
        <v>29</v>
      </c>
      <c r="D38" t="s">
        <v>14</v>
      </c>
      <c r="F38" s="3">
        <v>3</v>
      </c>
      <c r="G38" s="3">
        <v>16.54</v>
      </c>
      <c r="H38" t="str">
        <f>IF(OR(ISNUMBER(SEARCH("ARRIVA",C38)),ISNUMBER(SEARCH("Zettle",C38)),ISNUMBER(SEARCH("ENSIGN",C38)),ISNUMBER(SEARCH("IR",C38))),"Transport",
IF(OR(ISNUMBER(SEARCH("ALDI",C38)),ISNUMBER(SEARCH("NEW SEASON CASH",C38)),ISNUMBER(SEARCH("LONDON CASH CARRY",C38)),ISNUMBER(SEARCH("DAILY CATCH",C38)),ISNUMBER(SEARCH("ICELAND",C38)),ISNUMBER(SEARCH("KENT CASH",C38))),"Groceries",
IF(OR(ISNUMBER(SEARCH("CANCER RESEARCH",C38)),ISNUMBER(SEARCH("SAVERS",C38)),ISNUMBER(SEARCH("ZARA",C38)),ISNUMBER(SEARCH("MARKS&amp;SPENCER",C38)),ISNUMBER(SEARCH("PRIMARK",C38)),ISNUMBER(SEARCH("TIKTOK",C38)),ISNUMBER(SEARCH("EGO SHOES",C38)),ISNUMBER(SEARCH("BOOTS",C38))),"Essentials",
IF(OR(ISNUMBER(SEARCH("CUL",C38)),ISNUMBER(SEARCH("KP",C38)),ISNUMBER(SEARCH("RETAIL A",C38))),"Income",
IF(OR(ISNUMBER(SEARCH("BS",C38)),ISNUMBER(SEARCH("CN",C38)),ISNUMBER(SEARCH("EO",C38)),ISNUMBER(SEARCH("OO",C38)),ISNUMBER(SEARCH("TA",C38)),ISNUMBER(SEARCH("LEMFI",C38))),"Personal",
IF(ISNUMBER(SEARCH("ISTANBUL",C38)),"Entertainment",
IF(OR(ISNUMBER(SEARCH("UP",C38)),ISNUMBER(SEARCH("ULP",C38))),"Rent",
IF(OR(ISNUMBER(SEARCH("H3G",C38)),ISNUMBER(SEARCH("APPLE.COM/BILL",C38))),"Utilities",
"Other"))))))))</f>
        <v>Transport</v>
      </c>
      <c r="I38" t="str">
        <f>IF(H38="Transport","Fare / Travel",
IF(H38="Groceries","Shopping",
IF(H38="Essentials","Shopping",
IF(H38="Income","Salary / Reimbursement",
IF(H38="Personal","Friends &amp; Family",
IF(H38="Entertainment","Fun / Treats",
IF(H38="Rent","Rent",
IF(H38="Utilities","Mobile / Data",
"Other"))))))))</f>
        <v>Fare / Travel</v>
      </c>
    </row>
    <row r="39" spans="1:9" x14ac:dyDescent="0.3">
      <c r="A39" s="2">
        <v>45841</v>
      </c>
      <c r="B39" s="2" t="s">
        <v>220</v>
      </c>
      <c r="C39" t="s">
        <v>29</v>
      </c>
      <c r="D39" t="s">
        <v>14</v>
      </c>
      <c r="F39" s="3">
        <v>3</v>
      </c>
      <c r="G39" s="3">
        <v>13.54</v>
      </c>
      <c r="H39" t="str">
        <f t="shared" ref="H39:H100" si="2">IF(OR(ISNUMBER(SEARCH("ARRIVA",C39)),ISNUMBER(SEARCH("Zettle",C39)),ISNUMBER(SEARCH("ENSIGN",C39)),ISNUMBER(SEARCH("IR",C39))),"Transport",
IF(OR(ISNUMBER(SEARCH("ALDI",C39)),ISNUMBER(SEARCH("NEW SEASON CASH",C39)),ISNUMBER(SEARCH("LONDON CASH CARRY",C39)),ISNUMBER(SEARCH("DAILY CATCH",C39)),ISNUMBER(SEARCH("ICELAND",C39)),ISNUMBER(SEARCH("KENT CASH",C39))),"Groceries",
IF(OR(ISNUMBER(SEARCH("CANCER RESEARCH",C39)),ISNUMBER(SEARCH("SAVERS",C39)),ISNUMBER(SEARCH("ZARA",C39)),ISNUMBER(SEARCH("MARKS&amp;SPENCER",C39)),ISNUMBER(SEARCH("PRIMARK",C39)),ISNUMBER(SEARCH("TIKTOK",C39)),ISNUMBER(SEARCH("EGO SHOES",C39)),ISNUMBER(SEARCH("BOOTS",C39))),"Essentials",
IF(OR(ISNUMBER(SEARCH("CUL",C39)),ISNUMBER(SEARCH("KP",C39)),ISNUMBER(SEARCH("RETAIL A",C39))),"Income",
IF(OR(ISNUMBER(SEARCH("BS",C39)),ISNUMBER(SEARCH("CN",C39)),ISNUMBER(SEARCH("EO",C39)),ISNUMBER(SEARCH("OO",C39)),ISNUMBER(SEARCH("TA",C39)),ISNUMBER(SEARCH("LEMFI",C39))),"Personal",
IF(ISNUMBER(SEARCH("ISTANBUL",C39)),"Entertainment",
IF(OR(ISNUMBER(SEARCH("UP",C39)),ISNUMBER(SEARCH("ULP",C39))),"Rent",
IF(OR(ISNUMBER(SEARCH("H3G",C39)),ISNUMBER(SEARCH("APPLE.COM/BILL",C39))),"Utilities",
"Other"))))))))</f>
        <v>Transport</v>
      </c>
      <c r="I39" t="str">
        <f t="shared" ref="I39:I102" si="3">IF(H39="Transport","Fare / Travel",
IF(H39="Groceries","Shopping",
IF(H39="Essentials","Shopping",
IF(H39="Income","Salary / Reimbursement",
IF(H39="Personal","Friends &amp; Family",
IF(H39="Entertainment","Fun / Treats",
IF(H39="Rent","Rent",
IF(H39="Utilities","Mobile / Data",
"Other"))))))))</f>
        <v>Fare / Travel</v>
      </c>
    </row>
    <row r="40" spans="1:9" x14ac:dyDescent="0.3">
      <c r="A40" s="2">
        <v>45841</v>
      </c>
      <c r="B40" s="2" t="s">
        <v>220</v>
      </c>
      <c r="C40" t="s">
        <v>169</v>
      </c>
      <c r="D40" t="s">
        <v>14</v>
      </c>
      <c r="F40" s="3">
        <v>6.5</v>
      </c>
      <c r="G40" s="3">
        <v>7.04</v>
      </c>
      <c r="H40" t="str">
        <f t="shared" si="2"/>
        <v>Transport</v>
      </c>
      <c r="I40" t="str">
        <f t="shared" si="3"/>
        <v>Fare / Travel</v>
      </c>
    </row>
    <row r="41" spans="1:9" x14ac:dyDescent="0.3">
      <c r="A41" s="2">
        <v>45842</v>
      </c>
      <c r="B41" s="2" t="s">
        <v>220</v>
      </c>
      <c r="C41" t="s">
        <v>124</v>
      </c>
      <c r="D41" t="s">
        <v>68</v>
      </c>
      <c r="E41" s="3">
        <v>165.18</v>
      </c>
      <c r="G41" s="3">
        <v>172.22</v>
      </c>
      <c r="H41" t="str">
        <f t="shared" si="2"/>
        <v>Income</v>
      </c>
      <c r="I41" t="str">
        <f t="shared" si="3"/>
        <v>Salary / Reimbursement</v>
      </c>
    </row>
    <row r="42" spans="1:9" x14ac:dyDescent="0.3">
      <c r="A42" s="2">
        <v>45842</v>
      </c>
      <c r="B42" s="2" t="s">
        <v>220</v>
      </c>
      <c r="C42" t="s">
        <v>29</v>
      </c>
      <c r="D42" t="s">
        <v>14</v>
      </c>
      <c r="F42" s="3">
        <v>0.5</v>
      </c>
      <c r="G42" s="3">
        <v>171.72</v>
      </c>
      <c r="H42" t="str">
        <f t="shared" si="2"/>
        <v>Transport</v>
      </c>
      <c r="I42" t="str">
        <f t="shared" si="3"/>
        <v>Fare / Travel</v>
      </c>
    </row>
    <row r="43" spans="1:9" x14ac:dyDescent="0.3">
      <c r="A43" s="2">
        <v>45842</v>
      </c>
      <c r="B43" s="2" t="s">
        <v>220</v>
      </c>
      <c r="C43" t="s">
        <v>173</v>
      </c>
      <c r="D43" t="s">
        <v>14</v>
      </c>
      <c r="F43" s="3">
        <v>6.33</v>
      </c>
      <c r="G43" s="3">
        <v>165.39</v>
      </c>
      <c r="H43" t="str">
        <f t="shared" si="2"/>
        <v>Groceries</v>
      </c>
      <c r="I43" t="str">
        <f t="shared" si="3"/>
        <v>Shopping</v>
      </c>
    </row>
    <row r="44" spans="1:9" x14ac:dyDescent="0.3">
      <c r="A44" s="2">
        <v>45845</v>
      </c>
      <c r="B44" s="2" t="s">
        <v>220</v>
      </c>
      <c r="C44" t="s">
        <v>169</v>
      </c>
      <c r="D44" t="s">
        <v>14</v>
      </c>
      <c r="F44" s="3">
        <v>6.5</v>
      </c>
      <c r="G44" s="3">
        <v>158.88999999999999</v>
      </c>
      <c r="H44" t="str">
        <f t="shared" si="2"/>
        <v>Transport</v>
      </c>
      <c r="I44" t="str">
        <f t="shared" si="3"/>
        <v>Fare / Travel</v>
      </c>
    </row>
    <row r="45" spans="1:9" x14ac:dyDescent="0.3">
      <c r="A45" s="2">
        <v>45845</v>
      </c>
      <c r="B45" s="2" t="s">
        <v>220</v>
      </c>
      <c r="C45" t="s">
        <v>97</v>
      </c>
      <c r="D45" t="s">
        <v>14</v>
      </c>
      <c r="F45" s="3">
        <v>2.19</v>
      </c>
      <c r="G45" s="3">
        <v>156.69999999999999</v>
      </c>
      <c r="H45" t="str">
        <f t="shared" si="2"/>
        <v>Groceries</v>
      </c>
      <c r="I45" t="str">
        <f t="shared" si="3"/>
        <v>Shopping</v>
      </c>
    </row>
    <row r="46" spans="1:9" x14ac:dyDescent="0.3">
      <c r="A46" s="2">
        <v>45845</v>
      </c>
      <c r="B46" s="2" t="s">
        <v>220</v>
      </c>
      <c r="C46" t="s">
        <v>13</v>
      </c>
      <c r="D46" t="s">
        <v>14</v>
      </c>
      <c r="F46" s="3">
        <v>2.99</v>
      </c>
      <c r="G46" s="3">
        <v>153.71</v>
      </c>
      <c r="H46" t="str">
        <f t="shared" si="2"/>
        <v>Groceries</v>
      </c>
      <c r="I46" t="str">
        <f t="shared" si="3"/>
        <v>Shopping</v>
      </c>
    </row>
    <row r="47" spans="1:9" x14ac:dyDescent="0.3">
      <c r="A47" s="2">
        <v>45845</v>
      </c>
      <c r="B47" s="2" t="s">
        <v>220</v>
      </c>
      <c r="C47" t="s">
        <v>131</v>
      </c>
      <c r="D47" t="s">
        <v>14</v>
      </c>
      <c r="F47" s="3">
        <v>5</v>
      </c>
      <c r="G47" s="3">
        <v>148.71</v>
      </c>
      <c r="H47" t="str">
        <f t="shared" si="2"/>
        <v>Essentials</v>
      </c>
      <c r="I47" t="str">
        <f t="shared" si="3"/>
        <v>Shopping</v>
      </c>
    </row>
    <row r="48" spans="1:9" x14ac:dyDescent="0.3">
      <c r="A48" s="2">
        <v>45845</v>
      </c>
      <c r="B48" s="2" t="s">
        <v>220</v>
      </c>
      <c r="C48" t="s">
        <v>132</v>
      </c>
      <c r="D48" t="s">
        <v>14</v>
      </c>
      <c r="F48" s="3">
        <v>18.78</v>
      </c>
      <c r="G48" s="3">
        <v>129.93</v>
      </c>
      <c r="H48" t="str">
        <f t="shared" si="2"/>
        <v>Essentials</v>
      </c>
      <c r="I48" t="str">
        <f t="shared" si="3"/>
        <v>Shopping</v>
      </c>
    </row>
    <row r="49" spans="1:9" x14ac:dyDescent="0.3">
      <c r="A49" s="2">
        <v>45845</v>
      </c>
      <c r="B49" s="2" t="s">
        <v>220</v>
      </c>
      <c r="C49" t="s">
        <v>121</v>
      </c>
      <c r="D49" t="s">
        <v>7</v>
      </c>
      <c r="F49" s="3">
        <v>25</v>
      </c>
      <c r="G49" s="3">
        <v>104.93</v>
      </c>
      <c r="H49" t="str">
        <f t="shared" si="2"/>
        <v>Personal</v>
      </c>
      <c r="I49" t="str">
        <f t="shared" si="3"/>
        <v>Friends &amp; Family</v>
      </c>
    </row>
    <row r="50" spans="1:9" x14ac:dyDescent="0.3">
      <c r="A50" s="2">
        <v>45846</v>
      </c>
      <c r="B50" s="2" t="s">
        <v>220</v>
      </c>
      <c r="C50" t="s">
        <v>135</v>
      </c>
      <c r="D50" t="s">
        <v>14</v>
      </c>
      <c r="F50" s="3">
        <v>12.5</v>
      </c>
      <c r="G50" s="3">
        <v>92.43</v>
      </c>
      <c r="H50" t="str">
        <f t="shared" si="2"/>
        <v>Personal</v>
      </c>
      <c r="I50" t="str">
        <f t="shared" si="3"/>
        <v>Friends &amp; Family</v>
      </c>
    </row>
    <row r="51" spans="1:9" x14ac:dyDescent="0.3">
      <c r="A51" s="2">
        <v>45847</v>
      </c>
      <c r="B51" s="2" t="s">
        <v>220</v>
      </c>
      <c r="C51" t="s">
        <v>170</v>
      </c>
      <c r="D51" t="s">
        <v>68</v>
      </c>
      <c r="E51" s="3">
        <v>20</v>
      </c>
      <c r="G51" s="3">
        <v>112.43</v>
      </c>
      <c r="H51" t="str">
        <f t="shared" si="2"/>
        <v>Personal</v>
      </c>
      <c r="I51" t="str">
        <f t="shared" si="3"/>
        <v>Friends &amp; Family</v>
      </c>
    </row>
    <row r="52" spans="1:9" x14ac:dyDescent="0.3">
      <c r="A52" s="2">
        <v>45847</v>
      </c>
      <c r="B52" s="2" t="s">
        <v>220</v>
      </c>
      <c r="C52" t="s">
        <v>29</v>
      </c>
      <c r="D52" t="s">
        <v>14</v>
      </c>
      <c r="F52" s="3">
        <v>3</v>
      </c>
      <c r="G52" s="3">
        <v>109.43</v>
      </c>
      <c r="H52" t="str">
        <f t="shared" si="2"/>
        <v>Transport</v>
      </c>
      <c r="I52" t="str">
        <f t="shared" si="3"/>
        <v>Fare / Travel</v>
      </c>
    </row>
    <row r="53" spans="1:9" x14ac:dyDescent="0.3">
      <c r="A53" s="2">
        <v>45847</v>
      </c>
      <c r="B53" s="2" t="s">
        <v>220</v>
      </c>
      <c r="C53" t="s">
        <v>29</v>
      </c>
      <c r="D53" t="s">
        <v>14</v>
      </c>
      <c r="F53" s="3">
        <v>3</v>
      </c>
      <c r="G53" s="3">
        <v>106.43</v>
      </c>
      <c r="H53" t="str">
        <f t="shared" si="2"/>
        <v>Transport</v>
      </c>
      <c r="I53" t="str">
        <f t="shared" si="3"/>
        <v>Fare / Travel</v>
      </c>
    </row>
    <row r="54" spans="1:9" x14ac:dyDescent="0.3">
      <c r="A54" s="2">
        <v>45848</v>
      </c>
      <c r="B54" s="2" t="s">
        <v>220</v>
      </c>
      <c r="C54" t="s">
        <v>170</v>
      </c>
      <c r="D54" t="s">
        <v>68</v>
      </c>
      <c r="E54" s="3">
        <v>10</v>
      </c>
      <c r="G54" s="3">
        <v>116.43</v>
      </c>
      <c r="H54" t="str">
        <f t="shared" si="2"/>
        <v>Personal</v>
      </c>
      <c r="I54" t="str">
        <f t="shared" si="3"/>
        <v>Friends &amp; Family</v>
      </c>
    </row>
    <row r="55" spans="1:9" x14ac:dyDescent="0.3">
      <c r="A55" s="2">
        <v>45849</v>
      </c>
      <c r="B55" s="2" t="s">
        <v>220</v>
      </c>
      <c r="C55" t="s">
        <v>122</v>
      </c>
      <c r="D55" t="s">
        <v>72</v>
      </c>
      <c r="E55" s="3">
        <v>168.6</v>
      </c>
      <c r="G55" s="3">
        <v>285.02999999999997</v>
      </c>
      <c r="H55" t="str">
        <f t="shared" si="2"/>
        <v>Income</v>
      </c>
      <c r="I55" t="str">
        <f t="shared" si="3"/>
        <v>Salary / Reimbursement</v>
      </c>
    </row>
    <row r="56" spans="1:9" x14ac:dyDescent="0.3">
      <c r="A56" s="2">
        <v>45849</v>
      </c>
      <c r="B56" s="2" t="s">
        <v>220</v>
      </c>
      <c r="C56" t="s">
        <v>124</v>
      </c>
      <c r="D56" t="s">
        <v>68</v>
      </c>
      <c r="E56" s="3">
        <v>233.37</v>
      </c>
      <c r="G56" s="3">
        <v>518.4</v>
      </c>
      <c r="H56" t="str">
        <f t="shared" si="2"/>
        <v>Income</v>
      </c>
      <c r="I56" t="str">
        <f t="shared" si="3"/>
        <v>Salary / Reimbursement</v>
      </c>
    </row>
    <row r="57" spans="1:9" x14ac:dyDescent="0.3">
      <c r="A57" s="2">
        <v>45849</v>
      </c>
      <c r="B57" s="2" t="s">
        <v>220</v>
      </c>
      <c r="C57" t="s">
        <v>119</v>
      </c>
      <c r="D57" t="s">
        <v>7</v>
      </c>
      <c r="F57" s="3">
        <v>70</v>
      </c>
      <c r="G57" s="3">
        <v>448.4</v>
      </c>
      <c r="H57" t="str">
        <f t="shared" si="2"/>
        <v>Personal</v>
      </c>
      <c r="I57" t="str">
        <f t="shared" si="3"/>
        <v>Friends &amp; Family</v>
      </c>
    </row>
    <row r="58" spans="1:9" x14ac:dyDescent="0.3">
      <c r="A58" s="2">
        <v>45849</v>
      </c>
      <c r="B58" s="2" t="s">
        <v>220</v>
      </c>
      <c r="C58" t="s">
        <v>171</v>
      </c>
      <c r="D58" t="s">
        <v>7</v>
      </c>
      <c r="F58" s="3">
        <v>284.69</v>
      </c>
      <c r="G58" s="3">
        <v>163.71</v>
      </c>
      <c r="H58" t="str">
        <f t="shared" si="2"/>
        <v>Personal</v>
      </c>
      <c r="I58" t="str">
        <f t="shared" si="3"/>
        <v>Friends &amp; Family</v>
      </c>
    </row>
    <row r="59" spans="1:9" x14ac:dyDescent="0.3">
      <c r="A59" s="2">
        <v>45852</v>
      </c>
      <c r="B59" s="2" t="s">
        <v>220</v>
      </c>
      <c r="C59" t="s">
        <v>120</v>
      </c>
      <c r="D59" t="s">
        <v>7</v>
      </c>
      <c r="F59" s="3">
        <v>50</v>
      </c>
      <c r="G59" s="3">
        <v>113.71</v>
      </c>
      <c r="H59" t="str">
        <f t="shared" si="2"/>
        <v>Personal</v>
      </c>
      <c r="I59" t="str">
        <f t="shared" si="3"/>
        <v>Friends &amp; Family</v>
      </c>
    </row>
    <row r="60" spans="1:9" x14ac:dyDescent="0.3">
      <c r="A60" s="2">
        <v>45852</v>
      </c>
      <c r="B60" s="2" t="s">
        <v>220</v>
      </c>
      <c r="C60" t="s">
        <v>120</v>
      </c>
      <c r="D60" t="s">
        <v>7</v>
      </c>
      <c r="F60" s="3">
        <v>20</v>
      </c>
      <c r="G60" s="3">
        <v>93.71</v>
      </c>
      <c r="H60" t="str">
        <f t="shared" si="2"/>
        <v>Personal</v>
      </c>
      <c r="I60" t="str">
        <f t="shared" si="3"/>
        <v>Friends &amp; Family</v>
      </c>
    </row>
    <row r="61" spans="1:9" x14ac:dyDescent="0.3">
      <c r="A61" s="2">
        <v>45852</v>
      </c>
      <c r="B61" s="2" t="s">
        <v>220</v>
      </c>
      <c r="C61" t="s">
        <v>29</v>
      </c>
      <c r="D61" t="s">
        <v>14</v>
      </c>
      <c r="F61" s="3">
        <v>3</v>
      </c>
      <c r="G61" s="3">
        <v>90.71</v>
      </c>
      <c r="H61" t="str">
        <f t="shared" si="2"/>
        <v>Transport</v>
      </c>
      <c r="I61" t="str">
        <f t="shared" si="3"/>
        <v>Fare / Travel</v>
      </c>
    </row>
    <row r="62" spans="1:9" x14ac:dyDescent="0.3">
      <c r="A62" s="2">
        <v>45852</v>
      </c>
      <c r="B62" s="2" t="s">
        <v>220</v>
      </c>
      <c r="C62" t="s">
        <v>120</v>
      </c>
      <c r="D62" t="s">
        <v>7</v>
      </c>
      <c r="F62" s="3">
        <v>10</v>
      </c>
      <c r="G62" s="3">
        <v>80.709999999999994</v>
      </c>
      <c r="H62" t="str">
        <f t="shared" si="2"/>
        <v>Personal</v>
      </c>
      <c r="I62" t="str">
        <f t="shared" si="3"/>
        <v>Friends &amp; Family</v>
      </c>
    </row>
    <row r="63" spans="1:9" x14ac:dyDescent="0.3">
      <c r="A63" s="2">
        <v>45853</v>
      </c>
      <c r="B63" s="2" t="s">
        <v>220</v>
      </c>
      <c r="C63" t="s">
        <v>126</v>
      </c>
      <c r="D63" t="s">
        <v>72</v>
      </c>
      <c r="E63" s="3">
        <v>467</v>
      </c>
      <c r="G63" s="3">
        <v>547.71</v>
      </c>
      <c r="H63" t="str">
        <f t="shared" si="2"/>
        <v>Income</v>
      </c>
      <c r="I63" t="str">
        <f t="shared" si="3"/>
        <v>Salary / Reimbursement</v>
      </c>
    </row>
    <row r="64" spans="1:9" x14ac:dyDescent="0.3">
      <c r="A64" s="2">
        <v>45854</v>
      </c>
      <c r="B64" s="2" t="s">
        <v>220</v>
      </c>
      <c r="C64" t="s">
        <v>20</v>
      </c>
      <c r="D64" t="s">
        <v>21</v>
      </c>
      <c r="F64" s="3">
        <v>20.65</v>
      </c>
      <c r="G64" s="3">
        <v>527.05999999999995</v>
      </c>
      <c r="H64" t="str">
        <f t="shared" si="2"/>
        <v>Utilities</v>
      </c>
      <c r="I64" t="str">
        <f t="shared" si="3"/>
        <v>Mobile / Data</v>
      </c>
    </row>
    <row r="65" spans="1:9" x14ac:dyDescent="0.3">
      <c r="A65" s="2">
        <v>45855</v>
      </c>
      <c r="B65" s="2" t="s">
        <v>220</v>
      </c>
      <c r="C65" t="s">
        <v>123</v>
      </c>
      <c r="D65" t="s">
        <v>72</v>
      </c>
      <c r="E65" s="3">
        <v>3</v>
      </c>
      <c r="G65" s="3">
        <v>530.05999999999995</v>
      </c>
      <c r="H65" t="str">
        <f t="shared" si="2"/>
        <v>Transport</v>
      </c>
      <c r="I65" t="str">
        <f t="shared" si="3"/>
        <v>Fare / Travel</v>
      </c>
    </row>
    <row r="66" spans="1:9" x14ac:dyDescent="0.3">
      <c r="A66" s="2">
        <v>45855</v>
      </c>
      <c r="B66" s="2" t="s">
        <v>220</v>
      </c>
      <c r="C66" t="s">
        <v>123</v>
      </c>
      <c r="D66" t="s">
        <v>72</v>
      </c>
      <c r="E66" s="3">
        <v>6</v>
      </c>
      <c r="G66" s="3">
        <v>536.05999999999995</v>
      </c>
      <c r="H66" t="str">
        <f t="shared" si="2"/>
        <v>Transport</v>
      </c>
      <c r="I66" t="str">
        <f t="shared" si="3"/>
        <v>Fare / Travel</v>
      </c>
    </row>
    <row r="67" spans="1:9" x14ac:dyDescent="0.3">
      <c r="A67" s="2">
        <v>45855</v>
      </c>
      <c r="B67" s="2" t="s">
        <v>220</v>
      </c>
      <c r="C67" t="s">
        <v>120</v>
      </c>
      <c r="D67" t="s">
        <v>7</v>
      </c>
      <c r="F67" s="3">
        <v>2</v>
      </c>
      <c r="G67" s="3">
        <v>534.05999999999995</v>
      </c>
      <c r="H67" t="str">
        <f t="shared" si="2"/>
        <v>Personal</v>
      </c>
      <c r="I67" t="str">
        <f t="shared" si="3"/>
        <v>Friends &amp; Family</v>
      </c>
    </row>
    <row r="68" spans="1:9" x14ac:dyDescent="0.3">
      <c r="A68" s="2">
        <v>45855</v>
      </c>
      <c r="B68" s="2" t="s">
        <v>220</v>
      </c>
      <c r="C68" t="s">
        <v>120</v>
      </c>
      <c r="D68" t="s">
        <v>7</v>
      </c>
      <c r="F68" s="3">
        <v>65.599999999999994</v>
      </c>
      <c r="G68" s="3">
        <v>468.46</v>
      </c>
      <c r="H68" t="str">
        <f t="shared" si="2"/>
        <v>Personal</v>
      </c>
      <c r="I68" t="str">
        <f t="shared" si="3"/>
        <v>Friends &amp; Family</v>
      </c>
    </row>
    <row r="69" spans="1:9" x14ac:dyDescent="0.3">
      <c r="A69" s="2">
        <v>45855</v>
      </c>
      <c r="B69" s="2" t="s">
        <v>220</v>
      </c>
      <c r="C69" t="s">
        <v>145</v>
      </c>
      <c r="D69" t="s">
        <v>14</v>
      </c>
      <c r="F69" s="3">
        <v>16.95</v>
      </c>
      <c r="G69" s="3">
        <v>451.51</v>
      </c>
      <c r="H69" t="str">
        <f t="shared" si="2"/>
        <v>Essentials</v>
      </c>
      <c r="I69" t="str">
        <f t="shared" si="3"/>
        <v>Shopping</v>
      </c>
    </row>
    <row r="70" spans="1:9" x14ac:dyDescent="0.3">
      <c r="A70" s="2">
        <v>45856</v>
      </c>
      <c r="B70" s="2" t="s">
        <v>220</v>
      </c>
      <c r="C70" t="s">
        <v>120</v>
      </c>
      <c r="D70" t="s">
        <v>7</v>
      </c>
      <c r="F70" s="3">
        <v>2</v>
      </c>
      <c r="G70" s="3">
        <v>449.51</v>
      </c>
      <c r="H70" t="str">
        <f t="shared" si="2"/>
        <v>Personal</v>
      </c>
      <c r="I70" t="str">
        <f t="shared" si="3"/>
        <v>Friends &amp; Family</v>
      </c>
    </row>
    <row r="71" spans="1:9" x14ac:dyDescent="0.3">
      <c r="A71" s="2">
        <v>45859</v>
      </c>
      <c r="B71" s="2" t="s">
        <v>220</v>
      </c>
      <c r="C71" t="s">
        <v>148</v>
      </c>
      <c r="D71" t="s">
        <v>14</v>
      </c>
      <c r="F71" s="3">
        <v>24.47</v>
      </c>
      <c r="G71" s="3">
        <v>425.04</v>
      </c>
      <c r="H71" t="str">
        <f t="shared" si="2"/>
        <v>Essentials</v>
      </c>
      <c r="I71" t="str">
        <f t="shared" si="3"/>
        <v>Shopping</v>
      </c>
    </row>
    <row r="72" spans="1:9" x14ac:dyDescent="0.3">
      <c r="A72" s="2">
        <v>45859</v>
      </c>
      <c r="B72" s="2" t="s">
        <v>220</v>
      </c>
      <c r="C72" t="s">
        <v>120</v>
      </c>
      <c r="D72" t="s">
        <v>172</v>
      </c>
      <c r="E72" s="3">
        <v>200</v>
      </c>
      <c r="G72" s="3">
        <v>625.04</v>
      </c>
      <c r="H72" t="str">
        <f t="shared" si="2"/>
        <v>Personal</v>
      </c>
      <c r="I72" t="str">
        <f t="shared" si="3"/>
        <v>Friends &amp; Family</v>
      </c>
    </row>
    <row r="73" spans="1:9" x14ac:dyDescent="0.3">
      <c r="A73" s="2">
        <v>45859</v>
      </c>
      <c r="B73" s="2" t="s">
        <v>220</v>
      </c>
      <c r="C73" t="s">
        <v>125</v>
      </c>
      <c r="D73" t="s">
        <v>7</v>
      </c>
      <c r="F73" s="3">
        <v>500</v>
      </c>
      <c r="G73" s="3">
        <v>125.04</v>
      </c>
      <c r="H73" t="str">
        <f t="shared" si="2"/>
        <v>Rent</v>
      </c>
      <c r="I73" t="str">
        <f t="shared" si="3"/>
        <v>Rent</v>
      </c>
    </row>
    <row r="74" spans="1:9" x14ac:dyDescent="0.3">
      <c r="A74" s="2">
        <v>45859</v>
      </c>
      <c r="B74" s="2" t="s">
        <v>220</v>
      </c>
      <c r="C74" t="s">
        <v>150</v>
      </c>
      <c r="D74" t="s">
        <v>14</v>
      </c>
      <c r="F74" s="3">
        <v>11.99</v>
      </c>
      <c r="G74" s="3">
        <v>113.05</v>
      </c>
      <c r="H74" t="str">
        <f t="shared" si="2"/>
        <v>Essentials</v>
      </c>
      <c r="I74" t="str">
        <f t="shared" si="3"/>
        <v>Shopping</v>
      </c>
    </row>
    <row r="75" spans="1:9" x14ac:dyDescent="0.3">
      <c r="A75" s="2">
        <v>45859</v>
      </c>
      <c r="B75" s="2" t="s">
        <v>220</v>
      </c>
      <c r="C75" t="s">
        <v>151</v>
      </c>
      <c r="D75" t="s">
        <v>14</v>
      </c>
      <c r="F75" s="3">
        <v>25.1</v>
      </c>
      <c r="G75" s="3">
        <v>87.95</v>
      </c>
      <c r="H75" t="str">
        <f t="shared" si="2"/>
        <v>Essentials</v>
      </c>
      <c r="I75" t="str">
        <f t="shared" si="3"/>
        <v>Shopping</v>
      </c>
    </row>
    <row r="76" spans="1:9" x14ac:dyDescent="0.3">
      <c r="A76" s="2">
        <v>45859</v>
      </c>
      <c r="B76" s="2" t="s">
        <v>220</v>
      </c>
      <c r="C76" t="s">
        <v>13</v>
      </c>
      <c r="D76" t="s">
        <v>14</v>
      </c>
      <c r="F76" s="3">
        <v>3.99</v>
      </c>
      <c r="G76" s="3">
        <v>83.96</v>
      </c>
      <c r="H76" t="str">
        <f t="shared" si="2"/>
        <v>Groceries</v>
      </c>
      <c r="I76" t="str">
        <f t="shared" si="3"/>
        <v>Shopping</v>
      </c>
    </row>
    <row r="77" spans="1:9" x14ac:dyDescent="0.3">
      <c r="A77" s="2">
        <v>45859</v>
      </c>
      <c r="B77" s="2" t="s">
        <v>220</v>
      </c>
      <c r="C77" t="s">
        <v>13</v>
      </c>
      <c r="D77" t="s">
        <v>14</v>
      </c>
      <c r="F77" s="3">
        <v>4.78</v>
      </c>
      <c r="G77" s="3">
        <v>79.180000000000007</v>
      </c>
      <c r="H77" t="str">
        <f t="shared" si="2"/>
        <v>Groceries</v>
      </c>
      <c r="I77" t="str">
        <f t="shared" si="3"/>
        <v>Shopping</v>
      </c>
    </row>
    <row r="78" spans="1:9" x14ac:dyDescent="0.3">
      <c r="A78" s="2">
        <v>45859</v>
      </c>
      <c r="B78" s="2" t="s">
        <v>220</v>
      </c>
      <c r="C78" t="s">
        <v>90</v>
      </c>
      <c r="D78" t="s">
        <v>14</v>
      </c>
      <c r="F78" s="3">
        <v>7</v>
      </c>
      <c r="G78" s="3">
        <v>72.180000000000007</v>
      </c>
      <c r="H78" t="str">
        <f t="shared" si="2"/>
        <v>Groceries</v>
      </c>
      <c r="I78" t="str">
        <f t="shared" si="3"/>
        <v>Shopping</v>
      </c>
    </row>
    <row r="79" spans="1:9" x14ac:dyDescent="0.3">
      <c r="A79" s="2">
        <v>45859</v>
      </c>
      <c r="B79" s="2" t="s">
        <v>220</v>
      </c>
      <c r="C79" t="s">
        <v>97</v>
      </c>
      <c r="D79" t="s">
        <v>14</v>
      </c>
      <c r="F79" s="3">
        <v>20.5</v>
      </c>
      <c r="G79" s="3">
        <v>51.68</v>
      </c>
      <c r="H79" t="str">
        <f t="shared" si="2"/>
        <v>Groceries</v>
      </c>
      <c r="I79" t="str">
        <f t="shared" si="3"/>
        <v>Shopping</v>
      </c>
    </row>
    <row r="80" spans="1:9" x14ac:dyDescent="0.3">
      <c r="A80" s="2">
        <v>45859</v>
      </c>
      <c r="B80" s="2" t="s">
        <v>220</v>
      </c>
      <c r="C80" t="s">
        <v>13</v>
      </c>
      <c r="D80" t="s">
        <v>14</v>
      </c>
      <c r="F80" s="3">
        <v>33.5</v>
      </c>
      <c r="G80" s="3">
        <v>18.18</v>
      </c>
      <c r="H80" t="str">
        <f t="shared" si="2"/>
        <v>Groceries</v>
      </c>
      <c r="I80" t="str">
        <f t="shared" si="3"/>
        <v>Shopping</v>
      </c>
    </row>
    <row r="81" spans="1:9" x14ac:dyDescent="0.3">
      <c r="A81" s="2">
        <v>45860</v>
      </c>
      <c r="B81" s="2" t="s">
        <v>220</v>
      </c>
      <c r="C81" t="s">
        <v>29</v>
      </c>
      <c r="D81" t="s">
        <v>14</v>
      </c>
      <c r="F81" s="3">
        <v>3</v>
      </c>
      <c r="G81" s="3">
        <v>15.18</v>
      </c>
      <c r="H81" t="str">
        <f t="shared" si="2"/>
        <v>Transport</v>
      </c>
      <c r="I81" t="str">
        <f t="shared" si="3"/>
        <v>Fare / Travel</v>
      </c>
    </row>
    <row r="82" spans="1:9" x14ac:dyDescent="0.3">
      <c r="A82" s="2">
        <v>45860</v>
      </c>
      <c r="B82" s="2" t="s">
        <v>220</v>
      </c>
      <c r="C82" t="s">
        <v>29</v>
      </c>
      <c r="D82" t="s">
        <v>14</v>
      </c>
      <c r="F82" s="3">
        <v>3</v>
      </c>
      <c r="G82" s="3">
        <v>12.18</v>
      </c>
      <c r="H82" t="str">
        <f t="shared" si="2"/>
        <v>Transport</v>
      </c>
      <c r="I82" t="str">
        <f t="shared" si="3"/>
        <v>Fare / Travel</v>
      </c>
    </row>
    <row r="83" spans="1:9" x14ac:dyDescent="0.3">
      <c r="A83" s="2">
        <v>45862</v>
      </c>
      <c r="B83" s="2" t="s">
        <v>220</v>
      </c>
      <c r="C83" t="s">
        <v>123</v>
      </c>
      <c r="D83" t="s">
        <v>72</v>
      </c>
      <c r="E83" s="3">
        <v>3</v>
      </c>
      <c r="G83" s="3">
        <v>15.18</v>
      </c>
      <c r="H83" t="str">
        <f t="shared" si="2"/>
        <v>Transport</v>
      </c>
      <c r="I83" t="str">
        <f t="shared" si="3"/>
        <v>Fare / Travel</v>
      </c>
    </row>
    <row r="84" spans="1:9" x14ac:dyDescent="0.3">
      <c r="A84" s="2">
        <v>45862</v>
      </c>
      <c r="B84" s="2" t="s">
        <v>220</v>
      </c>
      <c r="C84" t="s">
        <v>123</v>
      </c>
      <c r="D84" t="s">
        <v>72</v>
      </c>
      <c r="E84" s="3">
        <v>6</v>
      </c>
      <c r="G84" s="3">
        <v>21.18</v>
      </c>
      <c r="H84" t="str">
        <f t="shared" si="2"/>
        <v>Transport</v>
      </c>
      <c r="I84" t="str">
        <f t="shared" si="3"/>
        <v>Fare / Travel</v>
      </c>
    </row>
    <row r="85" spans="1:9" x14ac:dyDescent="0.3">
      <c r="A85" s="2">
        <v>45862</v>
      </c>
      <c r="B85" s="2" t="s">
        <v>220</v>
      </c>
      <c r="C85" t="s">
        <v>123</v>
      </c>
      <c r="D85" t="s">
        <v>72</v>
      </c>
      <c r="E85" s="3">
        <v>6</v>
      </c>
      <c r="G85" s="3">
        <v>27.18</v>
      </c>
      <c r="H85" t="str">
        <f t="shared" si="2"/>
        <v>Transport</v>
      </c>
      <c r="I85" t="str">
        <f t="shared" si="3"/>
        <v>Fare / Travel</v>
      </c>
    </row>
    <row r="86" spans="1:9" x14ac:dyDescent="0.3">
      <c r="A86" s="2">
        <v>45862</v>
      </c>
      <c r="B86" s="2" t="s">
        <v>220</v>
      </c>
      <c r="C86" t="s">
        <v>156</v>
      </c>
      <c r="D86" t="s">
        <v>14</v>
      </c>
      <c r="F86" s="3">
        <v>4.8</v>
      </c>
      <c r="G86" s="3">
        <v>22.38</v>
      </c>
      <c r="H86" t="str">
        <f t="shared" si="2"/>
        <v>Essentials</v>
      </c>
      <c r="I86" t="str">
        <f t="shared" si="3"/>
        <v>Shopping</v>
      </c>
    </row>
    <row r="87" spans="1:9" x14ac:dyDescent="0.3">
      <c r="A87" s="2">
        <v>45862</v>
      </c>
      <c r="B87" s="2" t="s">
        <v>220</v>
      </c>
      <c r="C87" t="s">
        <v>157</v>
      </c>
      <c r="D87" t="s">
        <v>14</v>
      </c>
      <c r="F87" s="3">
        <v>2.7</v>
      </c>
      <c r="G87" s="3">
        <v>19.68</v>
      </c>
      <c r="H87" t="str">
        <f t="shared" si="2"/>
        <v>Transport</v>
      </c>
      <c r="I87" t="str">
        <f t="shared" si="3"/>
        <v>Fare / Travel</v>
      </c>
    </row>
    <row r="88" spans="1:9" x14ac:dyDescent="0.3">
      <c r="A88" s="2">
        <v>45862</v>
      </c>
      <c r="B88" s="2" t="s">
        <v>220</v>
      </c>
      <c r="C88" t="s">
        <v>29</v>
      </c>
      <c r="D88" t="s">
        <v>14</v>
      </c>
      <c r="F88" s="3">
        <v>3</v>
      </c>
      <c r="G88" s="3">
        <v>16.68</v>
      </c>
      <c r="H88" t="str">
        <f t="shared" si="2"/>
        <v>Transport</v>
      </c>
      <c r="I88" t="str">
        <f t="shared" si="3"/>
        <v>Fare / Travel</v>
      </c>
    </row>
    <row r="89" spans="1:9" x14ac:dyDescent="0.3">
      <c r="A89" s="2">
        <v>45863</v>
      </c>
      <c r="B89" s="2" t="s">
        <v>220</v>
      </c>
      <c r="C89" t="s">
        <v>157</v>
      </c>
      <c r="D89" t="s">
        <v>14</v>
      </c>
      <c r="F89" s="3">
        <v>2.7</v>
      </c>
      <c r="G89" s="3">
        <v>13.98</v>
      </c>
      <c r="H89" t="str">
        <f t="shared" si="2"/>
        <v>Transport</v>
      </c>
      <c r="I89" t="str">
        <f t="shared" si="3"/>
        <v>Fare / Travel</v>
      </c>
    </row>
    <row r="90" spans="1:9" x14ac:dyDescent="0.3">
      <c r="A90" s="2">
        <v>45863</v>
      </c>
      <c r="B90" s="2" t="s">
        <v>220</v>
      </c>
      <c r="C90" t="s">
        <v>29</v>
      </c>
      <c r="D90" t="s">
        <v>14</v>
      </c>
      <c r="F90" s="3">
        <v>3</v>
      </c>
      <c r="G90" s="3">
        <v>10.98</v>
      </c>
      <c r="H90" t="str">
        <f t="shared" si="2"/>
        <v>Transport</v>
      </c>
      <c r="I90" t="str">
        <f t="shared" si="3"/>
        <v>Fare / Travel</v>
      </c>
    </row>
    <row r="91" spans="1:9" x14ac:dyDescent="0.3">
      <c r="A91" s="2">
        <v>45863</v>
      </c>
      <c r="B91" s="2" t="s">
        <v>220</v>
      </c>
      <c r="C91" t="s">
        <v>29</v>
      </c>
      <c r="D91" t="s">
        <v>14</v>
      </c>
      <c r="F91" s="3">
        <v>3</v>
      </c>
      <c r="G91" s="3">
        <v>7.98</v>
      </c>
      <c r="H91" t="str">
        <f t="shared" si="2"/>
        <v>Transport</v>
      </c>
      <c r="I91" t="str">
        <f t="shared" si="3"/>
        <v>Fare / Travel</v>
      </c>
    </row>
    <row r="92" spans="1:9" x14ac:dyDescent="0.3">
      <c r="A92" s="2">
        <v>45863</v>
      </c>
      <c r="B92" s="2" t="s">
        <v>220</v>
      </c>
      <c r="C92" t="s">
        <v>29</v>
      </c>
      <c r="D92" t="s">
        <v>14</v>
      </c>
      <c r="F92" s="3">
        <v>3</v>
      </c>
      <c r="G92" s="3">
        <v>4.9800000000000004</v>
      </c>
      <c r="H92" t="str">
        <f t="shared" si="2"/>
        <v>Transport</v>
      </c>
      <c r="I92" t="str">
        <f t="shared" si="3"/>
        <v>Fare / Travel</v>
      </c>
    </row>
    <row r="93" spans="1:9" x14ac:dyDescent="0.3">
      <c r="A93" s="2">
        <v>45863</v>
      </c>
      <c r="B93" s="2" t="s">
        <v>220</v>
      </c>
      <c r="C93" t="s">
        <v>4</v>
      </c>
      <c r="D93" t="s">
        <v>68</v>
      </c>
      <c r="E93" s="3">
        <v>31.87</v>
      </c>
      <c r="G93" s="3">
        <v>36.85</v>
      </c>
      <c r="H93" t="str">
        <f t="shared" si="2"/>
        <v>Personal</v>
      </c>
      <c r="I93" t="str">
        <f t="shared" si="3"/>
        <v>Friends &amp; Family</v>
      </c>
    </row>
    <row r="94" spans="1:9" x14ac:dyDescent="0.3">
      <c r="A94" s="2">
        <v>45866</v>
      </c>
      <c r="B94" s="2" t="s">
        <v>220</v>
      </c>
      <c r="C94" t="s">
        <v>13</v>
      </c>
      <c r="D94" t="s">
        <v>14</v>
      </c>
      <c r="F94" s="3">
        <v>1.89</v>
      </c>
      <c r="G94" s="3">
        <v>34.96</v>
      </c>
      <c r="H94" t="str">
        <f t="shared" si="2"/>
        <v>Groceries</v>
      </c>
      <c r="I94" t="str">
        <f t="shared" si="3"/>
        <v>Shopping</v>
      </c>
    </row>
    <row r="95" spans="1:9" x14ac:dyDescent="0.3">
      <c r="A95" s="2">
        <v>45866</v>
      </c>
      <c r="B95" s="2" t="s">
        <v>220</v>
      </c>
      <c r="C95" t="s">
        <v>17</v>
      </c>
      <c r="D95" t="s">
        <v>14</v>
      </c>
      <c r="E95" s="3" t="s">
        <v>0</v>
      </c>
      <c r="F95" s="3">
        <v>2</v>
      </c>
      <c r="G95" s="3">
        <v>32.96</v>
      </c>
      <c r="H95" t="str">
        <f t="shared" si="2"/>
        <v>Groceries</v>
      </c>
      <c r="I95" t="str">
        <f t="shared" si="3"/>
        <v>Shopping</v>
      </c>
    </row>
    <row r="96" spans="1:9" x14ac:dyDescent="0.3">
      <c r="A96" s="2">
        <v>45866</v>
      </c>
      <c r="B96" s="2" t="s">
        <v>220</v>
      </c>
      <c r="C96" t="s">
        <v>162</v>
      </c>
      <c r="D96" t="s">
        <v>14</v>
      </c>
      <c r="F96" s="3">
        <v>2.1</v>
      </c>
      <c r="G96" s="3">
        <v>30.86</v>
      </c>
      <c r="H96" t="str">
        <f t="shared" si="2"/>
        <v>Groceries</v>
      </c>
      <c r="I96" t="str">
        <f t="shared" si="3"/>
        <v>Shopping</v>
      </c>
    </row>
    <row r="97" spans="1:9" x14ac:dyDescent="0.3">
      <c r="A97" s="2">
        <v>45866</v>
      </c>
      <c r="B97" s="2" t="s">
        <v>220</v>
      </c>
      <c r="C97" t="s">
        <v>163</v>
      </c>
      <c r="D97" t="s">
        <v>14</v>
      </c>
      <c r="F97" s="3">
        <v>0.99</v>
      </c>
      <c r="G97" s="3">
        <v>29.87</v>
      </c>
      <c r="H97" t="str">
        <f t="shared" si="2"/>
        <v>Utilities</v>
      </c>
      <c r="I97" t="str">
        <f t="shared" si="3"/>
        <v>Mobile / Data</v>
      </c>
    </row>
    <row r="98" spans="1:9" x14ac:dyDescent="0.3">
      <c r="A98" s="2">
        <v>45867</v>
      </c>
      <c r="B98" s="2" t="s">
        <v>220</v>
      </c>
      <c r="C98" t="s">
        <v>132</v>
      </c>
      <c r="D98" t="s">
        <v>14</v>
      </c>
      <c r="F98" s="3">
        <v>2.75</v>
      </c>
      <c r="G98" s="3">
        <v>27.12</v>
      </c>
      <c r="H98" t="str">
        <f t="shared" si="2"/>
        <v>Essentials</v>
      </c>
      <c r="I98" t="str">
        <f t="shared" si="3"/>
        <v>Shopping</v>
      </c>
    </row>
    <row r="99" spans="1:9" x14ac:dyDescent="0.3">
      <c r="A99" s="2">
        <v>45867</v>
      </c>
      <c r="B99" s="2" t="s">
        <v>220</v>
      </c>
      <c r="C99" t="s">
        <v>167</v>
      </c>
      <c r="D99" t="s">
        <v>14</v>
      </c>
      <c r="F99" s="3">
        <v>26.82</v>
      </c>
      <c r="G99" s="3">
        <v>0.3</v>
      </c>
      <c r="H99" t="str">
        <f t="shared" si="2"/>
        <v>Essentials</v>
      </c>
      <c r="I99" t="str">
        <f t="shared" si="3"/>
        <v>Shopping</v>
      </c>
    </row>
    <row r="100" spans="1:9" x14ac:dyDescent="0.3">
      <c r="A100" s="2">
        <v>45869</v>
      </c>
      <c r="B100" s="2" t="s">
        <v>220</v>
      </c>
      <c r="C100" t="s">
        <v>123</v>
      </c>
      <c r="D100" t="s">
        <v>72</v>
      </c>
      <c r="E100" s="3">
        <v>6</v>
      </c>
      <c r="G100" s="3">
        <v>6.3</v>
      </c>
      <c r="H100" t="str">
        <f t="shared" si="2"/>
        <v>Transport</v>
      </c>
      <c r="I100" t="str">
        <f t="shared" si="3"/>
        <v>Fare / Travel</v>
      </c>
    </row>
    <row r="101" spans="1:9" x14ac:dyDescent="0.3">
      <c r="A101" s="2">
        <v>45870</v>
      </c>
      <c r="B101" s="2" t="s">
        <v>221</v>
      </c>
      <c r="C101" t="s">
        <v>171</v>
      </c>
      <c r="D101" t="s">
        <v>68</v>
      </c>
      <c r="E101" s="3">
        <v>90</v>
      </c>
      <c r="G101" s="3">
        <v>96.3</v>
      </c>
      <c r="H101" t="s">
        <v>206</v>
      </c>
      <c r="I101" t="str">
        <f t="shared" si="3"/>
        <v>Friends &amp; Family</v>
      </c>
    </row>
    <row r="102" spans="1:9" x14ac:dyDescent="0.3">
      <c r="A102" s="2">
        <v>45870</v>
      </c>
      <c r="B102" s="2" t="s">
        <v>221</v>
      </c>
      <c r="C102" t="s">
        <v>120</v>
      </c>
      <c r="D102" t="s">
        <v>7</v>
      </c>
      <c r="F102" s="3">
        <v>10</v>
      </c>
      <c r="G102" s="3">
        <v>86.3</v>
      </c>
      <c r="H102" t="s">
        <v>206</v>
      </c>
      <c r="I102" t="str">
        <f t="shared" si="3"/>
        <v>Friends &amp; Family</v>
      </c>
    </row>
    <row r="103" spans="1:9" x14ac:dyDescent="0.3">
      <c r="A103" s="2">
        <v>45873</v>
      </c>
      <c r="B103" s="2" t="s">
        <v>221</v>
      </c>
      <c r="C103" t="s">
        <v>120</v>
      </c>
      <c r="D103" t="s">
        <v>7</v>
      </c>
      <c r="F103" s="3">
        <v>10</v>
      </c>
      <c r="G103" s="3">
        <v>76.3</v>
      </c>
      <c r="H103" t="s">
        <v>206</v>
      </c>
      <c r="I103" t="str">
        <f t="shared" ref="I103:I160" si="4">IF(H103="Transport","Fare / Travel",
IF(H103="Groceries","Shopping",
IF(H103="Essentials","Shopping",
IF(H103="Income","Salary / Reimbursement",
IF(H103="Personal","Friends &amp; Family",
IF(H103="Entertainment","Fun / Treats",
IF(H103="Rent","Rent",
IF(H103="Utilities","Mobile / Data",
"Other"))))))))</f>
        <v>Friends &amp; Family</v>
      </c>
    </row>
    <row r="104" spans="1:9" x14ac:dyDescent="0.3">
      <c r="A104" s="2">
        <v>45873</v>
      </c>
      <c r="B104" s="2" t="s">
        <v>221</v>
      </c>
      <c r="C104" t="s">
        <v>205</v>
      </c>
      <c r="D104" t="s">
        <v>7</v>
      </c>
      <c r="F104" s="3">
        <v>5</v>
      </c>
      <c r="G104" s="3">
        <v>71.3</v>
      </c>
      <c r="H104" t="s">
        <v>206</v>
      </c>
      <c r="I104" t="str">
        <f t="shared" si="4"/>
        <v>Friends &amp; Family</v>
      </c>
    </row>
    <row r="105" spans="1:9" x14ac:dyDescent="0.3">
      <c r="A105" s="2">
        <v>45873</v>
      </c>
      <c r="B105" s="2" t="s">
        <v>221</v>
      </c>
      <c r="C105" t="s">
        <v>29</v>
      </c>
      <c r="D105" t="s">
        <v>14</v>
      </c>
      <c r="F105" s="3">
        <v>3</v>
      </c>
      <c r="G105" s="3">
        <v>68.3</v>
      </c>
      <c r="H105" t="s">
        <v>207</v>
      </c>
      <c r="I105" t="str">
        <f t="shared" si="4"/>
        <v>Fare / Travel</v>
      </c>
    </row>
    <row r="106" spans="1:9" x14ac:dyDescent="0.3">
      <c r="A106" s="2">
        <v>45873</v>
      </c>
      <c r="B106" s="2" t="s">
        <v>221</v>
      </c>
      <c r="C106" t="s">
        <v>100</v>
      </c>
      <c r="D106" t="s">
        <v>14</v>
      </c>
      <c r="F106" s="3">
        <v>3</v>
      </c>
      <c r="G106" s="3">
        <v>65.3</v>
      </c>
      <c r="H106" t="s">
        <v>207</v>
      </c>
      <c r="I106" t="str">
        <f t="shared" si="4"/>
        <v>Fare / Travel</v>
      </c>
    </row>
    <row r="107" spans="1:9" x14ac:dyDescent="0.3">
      <c r="A107" s="2">
        <v>45873</v>
      </c>
      <c r="B107" s="2" t="s">
        <v>221</v>
      </c>
      <c r="C107" t="s">
        <v>87</v>
      </c>
      <c r="D107" t="s">
        <v>14</v>
      </c>
      <c r="F107" s="3">
        <v>4.5</v>
      </c>
      <c r="G107" s="3">
        <v>60.8</v>
      </c>
      <c r="H107" t="s">
        <v>208</v>
      </c>
      <c r="I107" t="str">
        <f t="shared" si="4"/>
        <v>Shopping</v>
      </c>
    </row>
    <row r="108" spans="1:9" x14ac:dyDescent="0.3">
      <c r="A108" s="2">
        <v>45873</v>
      </c>
      <c r="B108" s="2" t="s">
        <v>221</v>
      </c>
      <c r="C108" t="s">
        <v>169</v>
      </c>
      <c r="D108" t="s">
        <v>14</v>
      </c>
      <c r="F108" s="3">
        <v>11</v>
      </c>
      <c r="G108" s="3">
        <v>49.8</v>
      </c>
      <c r="H108" t="s">
        <v>207</v>
      </c>
      <c r="I108" t="str">
        <f t="shared" si="4"/>
        <v>Fare / Travel</v>
      </c>
    </row>
    <row r="109" spans="1:9" x14ac:dyDescent="0.3">
      <c r="A109" s="2">
        <v>45873</v>
      </c>
      <c r="B109" s="2" t="s">
        <v>221</v>
      </c>
      <c r="C109" t="s">
        <v>177</v>
      </c>
      <c r="D109" t="s">
        <v>14</v>
      </c>
      <c r="F109" s="3">
        <v>1.49</v>
      </c>
      <c r="G109" s="3">
        <v>48.31</v>
      </c>
      <c r="H109" t="s">
        <v>208</v>
      </c>
      <c r="I109" t="str">
        <f t="shared" si="4"/>
        <v>Shopping</v>
      </c>
    </row>
    <row r="110" spans="1:9" x14ac:dyDescent="0.3">
      <c r="A110" s="2">
        <v>45873</v>
      </c>
      <c r="B110" s="2" t="s">
        <v>221</v>
      </c>
      <c r="C110" t="s">
        <v>162</v>
      </c>
      <c r="D110" t="s">
        <v>14</v>
      </c>
      <c r="F110" s="3">
        <v>2</v>
      </c>
      <c r="G110" s="3">
        <v>46.31</v>
      </c>
      <c r="H110" t="s">
        <v>208</v>
      </c>
      <c r="I110" t="str">
        <f t="shared" si="4"/>
        <v>Shopping</v>
      </c>
    </row>
    <row r="111" spans="1:9" x14ac:dyDescent="0.3">
      <c r="A111" s="2">
        <v>45873</v>
      </c>
      <c r="B111" s="2" t="s">
        <v>221</v>
      </c>
      <c r="C111" t="s">
        <v>17</v>
      </c>
      <c r="D111" t="s">
        <v>14</v>
      </c>
      <c r="F111" s="3">
        <v>6.35</v>
      </c>
      <c r="G111" s="3">
        <v>39.96</v>
      </c>
      <c r="H111" t="s">
        <v>208</v>
      </c>
      <c r="I111" t="str">
        <f t="shared" si="4"/>
        <v>Shopping</v>
      </c>
    </row>
    <row r="112" spans="1:9" x14ac:dyDescent="0.3">
      <c r="A112" s="2">
        <v>45873</v>
      </c>
      <c r="B112" s="2" t="s">
        <v>221</v>
      </c>
      <c r="C112" t="s">
        <v>13</v>
      </c>
      <c r="D112" t="s">
        <v>14</v>
      </c>
      <c r="F112" s="3">
        <v>7.87</v>
      </c>
      <c r="G112" s="3">
        <v>32.090000000000003</v>
      </c>
      <c r="H112" t="s">
        <v>208</v>
      </c>
      <c r="I112" t="str">
        <f t="shared" si="4"/>
        <v>Shopping</v>
      </c>
    </row>
    <row r="113" spans="1:9" x14ac:dyDescent="0.3">
      <c r="A113" s="2">
        <v>45873</v>
      </c>
      <c r="B113" s="2" t="s">
        <v>221</v>
      </c>
      <c r="C113" t="s">
        <v>132</v>
      </c>
      <c r="D113" t="s">
        <v>14</v>
      </c>
      <c r="F113" s="3">
        <v>12.78</v>
      </c>
      <c r="G113" s="3">
        <v>19.309999999999999</v>
      </c>
      <c r="H113" t="s">
        <v>209</v>
      </c>
      <c r="I113" t="str">
        <f t="shared" si="4"/>
        <v>Shopping</v>
      </c>
    </row>
    <row r="114" spans="1:9" x14ac:dyDescent="0.3">
      <c r="A114" s="2">
        <v>45874</v>
      </c>
      <c r="B114" s="2" t="s">
        <v>221</v>
      </c>
      <c r="C114" t="s">
        <v>179</v>
      </c>
      <c r="D114" t="s">
        <v>14</v>
      </c>
      <c r="F114" s="3">
        <v>0.3</v>
      </c>
      <c r="G114" s="3">
        <v>19.010000000000002</v>
      </c>
      <c r="H114" t="s">
        <v>208</v>
      </c>
      <c r="I114" t="str">
        <f t="shared" si="4"/>
        <v>Shopping</v>
      </c>
    </row>
    <row r="115" spans="1:9" x14ac:dyDescent="0.3">
      <c r="A115" s="2">
        <v>45874</v>
      </c>
      <c r="B115" s="2" t="s">
        <v>221</v>
      </c>
      <c r="C115" t="s">
        <v>87</v>
      </c>
      <c r="D115" t="s">
        <v>14</v>
      </c>
      <c r="F115" s="3">
        <v>2.75</v>
      </c>
      <c r="G115" s="3">
        <v>16.260000000000002</v>
      </c>
      <c r="H115" t="s">
        <v>208</v>
      </c>
      <c r="I115" t="str">
        <f t="shared" si="4"/>
        <v>Shopping</v>
      </c>
    </row>
    <row r="116" spans="1:9" x14ac:dyDescent="0.3">
      <c r="A116" s="2">
        <v>45874</v>
      </c>
      <c r="B116" s="2" t="s">
        <v>221</v>
      </c>
      <c r="C116" t="s">
        <v>169</v>
      </c>
      <c r="D116" t="s">
        <v>14</v>
      </c>
      <c r="F116" s="3">
        <v>11</v>
      </c>
      <c r="G116" s="3">
        <v>5.26</v>
      </c>
      <c r="H116" t="s">
        <v>207</v>
      </c>
      <c r="I116" t="str">
        <f t="shared" si="4"/>
        <v>Fare / Travel</v>
      </c>
    </row>
    <row r="117" spans="1:9" x14ac:dyDescent="0.3">
      <c r="A117" s="2">
        <v>45874</v>
      </c>
      <c r="B117" s="2" t="s">
        <v>221</v>
      </c>
      <c r="C117" t="s">
        <v>120</v>
      </c>
      <c r="D117" t="s">
        <v>68</v>
      </c>
      <c r="E117" s="3">
        <v>20</v>
      </c>
      <c r="G117" s="3">
        <v>25.26</v>
      </c>
      <c r="H117" t="s">
        <v>206</v>
      </c>
      <c r="I117" t="str">
        <f t="shared" si="4"/>
        <v>Friends &amp; Family</v>
      </c>
    </row>
    <row r="118" spans="1:9" x14ac:dyDescent="0.3">
      <c r="A118" s="2">
        <v>45874</v>
      </c>
      <c r="B118" s="2" t="s">
        <v>221</v>
      </c>
      <c r="C118" t="s">
        <v>120</v>
      </c>
      <c r="D118" t="s">
        <v>68</v>
      </c>
      <c r="E118" s="3">
        <v>5</v>
      </c>
      <c r="G118" s="3">
        <v>30.26</v>
      </c>
      <c r="H118" t="s">
        <v>206</v>
      </c>
      <c r="I118" t="str">
        <f t="shared" si="4"/>
        <v>Friends &amp; Family</v>
      </c>
    </row>
    <row r="119" spans="1:9" x14ac:dyDescent="0.3">
      <c r="A119" s="2">
        <v>45875</v>
      </c>
      <c r="B119" s="2" t="s">
        <v>221</v>
      </c>
      <c r="C119" t="s">
        <v>13</v>
      </c>
      <c r="D119" t="s">
        <v>14</v>
      </c>
      <c r="F119" s="3">
        <v>27.97</v>
      </c>
      <c r="G119" s="3">
        <v>2.29</v>
      </c>
      <c r="H119" t="s">
        <v>208</v>
      </c>
      <c r="I119" t="str">
        <f t="shared" si="4"/>
        <v>Shopping</v>
      </c>
    </row>
    <row r="120" spans="1:9" x14ac:dyDescent="0.3">
      <c r="A120" s="2">
        <v>45876</v>
      </c>
      <c r="B120" s="2" t="s">
        <v>221</v>
      </c>
      <c r="C120" t="s">
        <v>120</v>
      </c>
      <c r="D120" t="s">
        <v>7</v>
      </c>
      <c r="F120" s="3">
        <v>2.29</v>
      </c>
      <c r="G120" s="3">
        <v>0</v>
      </c>
      <c r="H120" t="s">
        <v>206</v>
      </c>
      <c r="I120" t="str">
        <f t="shared" si="4"/>
        <v>Friends &amp; Family</v>
      </c>
    </row>
    <row r="121" spans="1:9" x14ac:dyDescent="0.3">
      <c r="A121" s="2">
        <v>45876</v>
      </c>
      <c r="B121" s="2" t="s">
        <v>221</v>
      </c>
      <c r="C121" t="s">
        <v>120</v>
      </c>
      <c r="D121" t="s">
        <v>68</v>
      </c>
      <c r="E121" s="3">
        <v>18.760000000000002</v>
      </c>
      <c r="G121" s="3">
        <v>18.760000000000002</v>
      </c>
      <c r="H121" t="s">
        <v>206</v>
      </c>
      <c r="I121" t="str">
        <f t="shared" si="4"/>
        <v>Friends &amp; Family</v>
      </c>
    </row>
    <row r="122" spans="1:9" x14ac:dyDescent="0.3">
      <c r="A122" s="2">
        <v>45876</v>
      </c>
      <c r="B122" s="2" t="s">
        <v>221</v>
      </c>
      <c r="C122" t="s">
        <v>119</v>
      </c>
      <c r="D122" t="s">
        <v>68</v>
      </c>
      <c r="E122" s="3">
        <v>5</v>
      </c>
      <c r="G122" s="3">
        <v>23.76</v>
      </c>
      <c r="H122" t="s">
        <v>206</v>
      </c>
      <c r="I122" t="str">
        <f t="shared" si="4"/>
        <v>Friends &amp; Family</v>
      </c>
    </row>
    <row r="123" spans="1:9" x14ac:dyDescent="0.3">
      <c r="A123" s="2">
        <v>45877</v>
      </c>
      <c r="B123" s="2" t="s">
        <v>221</v>
      </c>
      <c r="C123" t="s">
        <v>122</v>
      </c>
      <c r="D123" t="s">
        <v>72</v>
      </c>
      <c r="E123" s="3">
        <v>168.6</v>
      </c>
      <c r="G123" s="3">
        <v>192.36</v>
      </c>
      <c r="H123" t="s">
        <v>210</v>
      </c>
      <c r="I123" t="str">
        <f t="shared" si="4"/>
        <v>Salary / Reimbursement</v>
      </c>
    </row>
    <row r="124" spans="1:9" x14ac:dyDescent="0.3">
      <c r="A124" s="2">
        <v>45877</v>
      </c>
      <c r="B124" s="2" t="s">
        <v>221</v>
      </c>
      <c r="C124" t="s">
        <v>124</v>
      </c>
      <c r="D124" t="s">
        <v>68</v>
      </c>
      <c r="E124" s="3">
        <v>174.75</v>
      </c>
      <c r="G124" s="3">
        <v>367.11</v>
      </c>
      <c r="H124" t="s">
        <v>210</v>
      </c>
      <c r="I124" t="str">
        <f t="shared" si="4"/>
        <v>Salary / Reimbursement</v>
      </c>
    </row>
    <row r="125" spans="1:9" x14ac:dyDescent="0.3">
      <c r="A125" s="2">
        <v>45877</v>
      </c>
      <c r="B125" s="2" t="s">
        <v>221</v>
      </c>
      <c r="C125" t="s">
        <v>29</v>
      </c>
      <c r="D125" t="s">
        <v>14</v>
      </c>
      <c r="F125" s="3">
        <v>3</v>
      </c>
      <c r="G125" s="3">
        <v>364.11</v>
      </c>
      <c r="H125" t="s">
        <v>207</v>
      </c>
      <c r="I125" t="str">
        <f t="shared" si="4"/>
        <v>Fare / Travel</v>
      </c>
    </row>
    <row r="126" spans="1:9" x14ac:dyDescent="0.3">
      <c r="A126" s="2">
        <v>45877</v>
      </c>
      <c r="B126" s="2" t="s">
        <v>221</v>
      </c>
      <c r="C126" t="s">
        <v>185</v>
      </c>
      <c r="D126" t="s">
        <v>14</v>
      </c>
      <c r="F126" s="3">
        <v>19.48</v>
      </c>
      <c r="G126" s="3">
        <v>344.63</v>
      </c>
      <c r="H126" t="s">
        <v>209</v>
      </c>
      <c r="I126" t="str">
        <f t="shared" si="4"/>
        <v>Shopping</v>
      </c>
    </row>
    <row r="127" spans="1:9" x14ac:dyDescent="0.3">
      <c r="A127" s="2">
        <v>45880</v>
      </c>
      <c r="B127" s="2" t="s">
        <v>221</v>
      </c>
      <c r="C127" t="s">
        <v>171</v>
      </c>
      <c r="D127" t="s">
        <v>7</v>
      </c>
      <c r="F127" s="3">
        <v>35</v>
      </c>
      <c r="G127" s="3">
        <v>309.63</v>
      </c>
      <c r="H127" t="s">
        <v>206</v>
      </c>
      <c r="I127" t="str">
        <f t="shared" si="4"/>
        <v>Friends &amp; Family</v>
      </c>
    </row>
    <row r="128" spans="1:9" x14ac:dyDescent="0.3">
      <c r="A128" s="2">
        <v>45880</v>
      </c>
      <c r="B128" s="2" t="s">
        <v>221</v>
      </c>
      <c r="C128" t="s">
        <v>169</v>
      </c>
      <c r="D128" t="s">
        <v>14</v>
      </c>
      <c r="F128" s="3">
        <v>6.5</v>
      </c>
      <c r="G128" s="3">
        <v>303.13</v>
      </c>
      <c r="H128" t="s">
        <v>207</v>
      </c>
      <c r="I128" t="str">
        <f t="shared" si="4"/>
        <v>Fare / Travel</v>
      </c>
    </row>
    <row r="129" spans="1:9" x14ac:dyDescent="0.3">
      <c r="A129" s="2">
        <v>45880</v>
      </c>
      <c r="B129" s="2" t="s">
        <v>221</v>
      </c>
      <c r="C129" t="s">
        <v>214</v>
      </c>
      <c r="D129" t="s">
        <v>14</v>
      </c>
      <c r="F129" s="3">
        <v>0.75</v>
      </c>
      <c r="G129" s="3">
        <v>302.38</v>
      </c>
      <c r="H129" t="s">
        <v>208</v>
      </c>
      <c r="I129" t="str">
        <f t="shared" si="4"/>
        <v>Shopping</v>
      </c>
    </row>
    <row r="130" spans="1:9" x14ac:dyDescent="0.3">
      <c r="A130" s="2">
        <v>45880</v>
      </c>
      <c r="B130" s="2" t="s">
        <v>221</v>
      </c>
      <c r="C130" t="s">
        <v>13</v>
      </c>
      <c r="D130" t="s">
        <v>14</v>
      </c>
      <c r="F130" s="3">
        <v>2.89</v>
      </c>
      <c r="G130" s="3">
        <v>299.49</v>
      </c>
      <c r="H130" t="s">
        <v>208</v>
      </c>
      <c r="I130" t="str">
        <f t="shared" si="4"/>
        <v>Shopping</v>
      </c>
    </row>
    <row r="131" spans="1:9" x14ac:dyDescent="0.3">
      <c r="A131" s="2">
        <v>45880</v>
      </c>
      <c r="B131" s="2" t="s">
        <v>221</v>
      </c>
      <c r="C131" t="s">
        <v>29</v>
      </c>
      <c r="D131" t="s">
        <v>14</v>
      </c>
      <c r="F131" s="3">
        <v>6</v>
      </c>
      <c r="G131" s="3">
        <v>293.49</v>
      </c>
      <c r="H131" t="s">
        <v>207</v>
      </c>
      <c r="I131" t="str">
        <f t="shared" si="4"/>
        <v>Fare / Travel</v>
      </c>
    </row>
    <row r="132" spans="1:9" x14ac:dyDescent="0.3">
      <c r="A132" s="2">
        <v>45880</v>
      </c>
      <c r="B132" s="2" t="s">
        <v>221</v>
      </c>
      <c r="C132" t="s">
        <v>189</v>
      </c>
      <c r="D132" t="s">
        <v>14</v>
      </c>
      <c r="F132" s="3">
        <v>7</v>
      </c>
      <c r="G132" s="3">
        <v>286.49</v>
      </c>
      <c r="H132" t="s">
        <v>209</v>
      </c>
      <c r="I132" t="str">
        <f t="shared" si="4"/>
        <v>Shopping</v>
      </c>
    </row>
    <row r="133" spans="1:9" x14ac:dyDescent="0.3">
      <c r="A133" s="2">
        <v>45880</v>
      </c>
      <c r="B133" s="2" t="s">
        <v>221</v>
      </c>
      <c r="C133" t="s">
        <v>173</v>
      </c>
      <c r="D133" t="s">
        <v>14</v>
      </c>
      <c r="F133" s="3">
        <v>41.47</v>
      </c>
      <c r="G133" s="3">
        <v>245.02</v>
      </c>
      <c r="H133" t="s">
        <v>208</v>
      </c>
      <c r="I133" t="str">
        <f t="shared" si="4"/>
        <v>Shopping</v>
      </c>
    </row>
    <row r="134" spans="1:9" x14ac:dyDescent="0.3">
      <c r="A134" s="2">
        <v>45880</v>
      </c>
      <c r="B134" s="2" t="s">
        <v>221</v>
      </c>
      <c r="C134" t="s">
        <v>190</v>
      </c>
      <c r="D134" t="s">
        <v>14</v>
      </c>
      <c r="F134" s="3">
        <v>3.5</v>
      </c>
      <c r="G134" s="3">
        <v>241.52</v>
      </c>
      <c r="H134" t="s">
        <v>209</v>
      </c>
      <c r="I134" t="str">
        <f t="shared" si="4"/>
        <v>Shopping</v>
      </c>
    </row>
    <row r="135" spans="1:9" x14ac:dyDescent="0.3">
      <c r="A135" s="2">
        <v>45880</v>
      </c>
      <c r="B135" s="2" t="s">
        <v>221</v>
      </c>
      <c r="C135" t="s">
        <v>29</v>
      </c>
      <c r="D135" t="s">
        <v>14</v>
      </c>
      <c r="F135" s="3">
        <v>3</v>
      </c>
      <c r="G135" s="3">
        <v>238.52</v>
      </c>
      <c r="H135" t="s">
        <v>207</v>
      </c>
      <c r="I135" t="str">
        <f t="shared" si="4"/>
        <v>Fare / Travel</v>
      </c>
    </row>
    <row r="136" spans="1:9" x14ac:dyDescent="0.3">
      <c r="A136" s="2">
        <v>45880</v>
      </c>
      <c r="B136" s="2" t="s">
        <v>221</v>
      </c>
      <c r="C136" t="s">
        <v>52</v>
      </c>
      <c r="D136" t="s">
        <v>14</v>
      </c>
      <c r="F136" s="3">
        <v>8</v>
      </c>
      <c r="G136" s="3">
        <v>230.52</v>
      </c>
      <c r="H136" t="s">
        <v>208</v>
      </c>
      <c r="I136" t="str">
        <f t="shared" si="4"/>
        <v>Shopping</v>
      </c>
    </row>
    <row r="137" spans="1:9" x14ac:dyDescent="0.3">
      <c r="A137" s="2">
        <v>45881</v>
      </c>
      <c r="B137" s="2" t="s">
        <v>221</v>
      </c>
      <c r="C137" t="s">
        <v>169</v>
      </c>
      <c r="D137" t="s">
        <v>14</v>
      </c>
      <c r="F137" s="3">
        <v>6.5</v>
      </c>
      <c r="G137" s="3">
        <v>224.02</v>
      </c>
      <c r="H137" t="s">
        <v>207</v>
      </c>
      <c r="I137" t="str">
        <f t="shared" si="4"/>
        <v>Fare / Travel</v>
      </c>
    </row>
    <row r="138" spans="1:9" x14ac:dyDescent="0.3">
      <c r="A138" s="2">
        <v>45881</v>
      </c>
      <c r="B138" s="2" t="s">
        <v>221</v>
      </c>
      <c r="C138" t="s">
        <v>211</v>
      </c>
      <c r="D138" t="s">
        <v>7</v>
      </c>
      <c r="F138" s="3">
        <v>70</v>
      </c>
      <c r="G138" s="3">
        <v>154.02000000000001</v>
      </c>
      <c r="H138" t="s">
        <v>206</v>
      </c>
      <c r="I138" t="str">
        <f t="shared" si="4"/>
        <v>Friends &amp; Family</v>
      </c>
    </row>
    <row r="139" spans="1:9" x14ac:dyDescent="0.3">
      <c r="A139" s="2">
        <v>45882</v>
      </c>
      <c r="B139" s="2" t="s">
        <v>221</v>
      </c>
      <c r="C139" t="s">
        <v>169</v>
      </c>
      <c r="D139" t="s">
        <v>14</v>
      </c>
      <c r="F139" s="3">
        <v>6.5</v>
      </c>
      <c r="G139" s="3">
        <v>147.52000000000001</v>
      </c>
      <c r="H139" t="s">
        <v>207</v>
      </c>
      <c r="I139" t="str">
        <f t="shared" si="4"/>
        <v>Fare / Travel</v>
      </c>
    </row>
    <row r="140" spans="1:9" x14ac:dyDescent="0.3">
      <c r="A140" s="2">
        <v>45883</v>
      </c>
      <c r="B140" s="2" t="s">
        <v>221</v>
      </c>
      <c r="C140" t="s">
        <v>171</v>
      </c>
      <c r="D140" t="s">
        <v>68</v>
      </c>
      <c r="E140" s="3">
        <v>35</v>
      </c>
      <c r="G140" s="3">
        <v>182.52</v>
      </c>
      <c r="H140" t="s">
        <v>206</v>
      </c>
      <c r="I140" t="str">
        <f t="shared" si="4"/>
        <v>Friends &amp; Family</v>
      </c>
    </row>
    <row r="141" spans="1:9" x14ac:dyDescent="0.3">
      <c r="A141" s="2">
        <v>45883</v>
      </c>
      <c r="B141" s="2" t="s">
        <v>221</v>
      </c>
      <c r="C141" t="s">
        <v>169</v>
      </c>
      <c r="D141" t="s">
        <v>14</v>
      </c>
      <c r="F141" s="3">
        <v>6.5</v>
      </c>
      <c r="G141" s="3">
        <v>176.02</v>
      </c>
      <c r="H141" t="s">
        <v>207</v>
      </c>
      <c r="I141" t="str">
        <f t="shared" si="4"/>
        <v>Fare / Travel</v>
      </c>
    </row>
    <row r="142" spans="1:9" x14ac:dyDescent="0.3">
      <c r="A142" s="2">
        <v>45884</v>
      </c>
      <c r="B142" s="2" t="s">
        <v>221</v>
      </c>
      <c r="C142" t="s">
        <v>126</v>
      </c>
      <c r="D142" t="s">
        <v>72</v>
      </c>
      <c r="E142" s="3">
        <v>17.399999999999999</v>
      </c>
      <c r="G142" s="3">
        <v>193.42</v>
      </c>
      <c r="H142" t="s">
        <v>210</v>
      </c>
      <c r="I142" t="str">
        <f t="shared" si="4"/>
        <v>Salary / Reimbursement</v>
      </c>
    </row>
    <row r="143" spans="1:9" x14ac:dyDescent="0.3">
      <c r="A143" s="2">
        <v>45884</v>
      </c>
      <c r="B143" s="2" t="s">
        <v>221</v>
      </c>
      <c r="C143" t="s">
        <v>124</v>
      </c>
      <c r="D143" t="s">
        <v>68</v>
      </c>
      <c r="E143" s="3">
        <v>195.85</v>
      </c>
      <c r="G143" s="3">
        <v>389.27</v>
      </c>
      <c r="H143" t="s">
        <v>210</v>
      </c>
      <c r="I143" t="str">
        <f t="shared" si="4"/>
        <v>Salary / Reimbursement</v>
      </c>
    </row>
    <row r="144" spans="1:9" x14ac:dyDescent="0.3">
      <c r="A144" s="2">
        <v>45884</v>
      </c>
      <c r="B144" s="2" t="s">
        <v>221</v>
      </c>
      <c r="C144" t="s">
        <v>215</v>
      </c>
      <c r="D144" t="s">
        <v>14</v>
      </c>
      <c r="F144" s="3">
        <v>47.98</v>
      </c>
      <c r="G144" s="3">
        <v>341.29</v>
      </c>
      <c r="H144" t="s">
        <v>207</v>
      </c>
      <c r="I144" t="str">
        <f t="shared" si="4"/>
        <v>Fare / Travel</v>
      </c>
    </row>
    <row r="145" spans="1:9" x14ac:dyDescent="0.3">
      <c r="A145" s="2">
        <v>45887</v>
      </c>
      <c r="B145" s="2" t="s">
        <v>221</v>
      </c>
      <c r="C145" t="s">
        <v>197</v>
      </c>
      <c r="D145" t="s">
        <v>14</v>
      </c>
      <c r="F145" s="3">
        <v>0.99</v>
      </c>
      <c r="G145" s="3">
        <v>340.3</v>
      </c>
      <c r="H145" t="s">
        <v>208</v>
      </c>
      <c r="I145" t="str">
        <f t="shared" si="4"/>
        <v>Shopping</v>
      </c>
    </row>
    <row r="146" spans="1:9" x14ac:dyDescent="0.3">
      <c r="A146" s="2">
        <v>45887</v>
      </c>
      <c r="B146" s="2" t="s">
        <v>221</v>
      </c>
      <c r="C146" t="s">
        <v>29</v>
      </c>
      <c r="D146" t="s">
        <v>14</v>
      </c>
      <c r="F146" s="3">
        <v>2.5</v>
      </c>
      <c r="G146" s="3">
        <v>337.8</v>
      </c>
      <c r="H146" t="s">
        <v>207</v>
      </c>
      <c r="I146" t="str">
        <f t="shared" si="4"/>
        <v>Fare / Travel</v>
      </c>
    </row>
    <row r="147" spans="1:9" x14ac:dyDescent="0.3">
      <c r="A147" s="2">
        <v>45887</v>
      </c>
      <c r="B147" s="2" t="s">
        <v>221</v>
      </c>
      <c r="C147" t="s">
        <v>29</v>
      </c>
      <c r="D147" t="s">
        <v>14</v>
      </c>
      <c r="F147" s="3">
        <v>3</v>
      </c>
      <c r="G147" s="3">
        <v>334.8</v>
      </c>
      <c r="H147" t="s">
        <v>207</v>
      </c>
      <c r="I147" t="str">
        <f t="shared" si="4"/>
        <v>Fare / Travel</v>
      </c>
    </row>
    <row r="148" spans="1:9" x14ac:dyDescent="0.3">
      <c r="A148" s="2">
        <v>45887</v>
      </c>
      <c r="B148" s="2" t="s">
        <v>221</v>
      </c>
      <c r="C148" t="s">
        <v>169</v>
      </c>
      <c r="D148" t="s">
        <v>14</v>
      </c>
      <c r="F148" s="3">
        <v>6.5</v>
      </c>
      <c r="G148" s="3">
        <v>328.3</v>
      </c>
      <c r="H148" t="s">
        <v>207</v>
      </c>
      <c r="I148" t="str">
        <f t="shared" si="4"/>
        <v>Fare / Travel</v>
      </c>
    </row>
    <row r="149" spans="1:9" x14ac:dyDescent="0.3">
      <c r="A149" s="2">
        <v>45887</v>
      </c>
      <c r="B149" s="2" t="s">
        <v>221</v>
      </c>
      <c r="C149" t="s">
        <v>199</v>
      </c>
      <c r="D149" t="s">
        <v>14</v>
      </c>
      <c r="F149" s="3">
        <v>34</v>
      </c>
      <c r="G149" s="3">
        <v>294.3</v>
      </c>
      <c r="H149" t="s">
        <v>209</v>
      </c>
      <c r="I149" t="str">
        <f t="shared" si="4"/>
        <v>Shopping</v>
      </c>
    </row>
    <row r="150" spans="1:9" x14ac:dyDescent="0.3">
      <c r="A150" s="2">
        <v>45887</v>
      </c>
      <c r="B150" s="2" t="s">
        <v>221</v>
      </c>
      <c r="C150" t="s">
        <v>29</v>
      </c>
      <c r="D150" t="s">
        <v>14</v>
      </c>
      <c r="F150" s="3">
        <v>3</v>
      </c>
      <c r="G150" s="3">
        <v>291.3</v>
      </c>
      <c r="H150" t="s">
        <v>207</v>
      </c>
      <c r="I150" t="str">
        <f t="shared" si="4"/>
        <v>Fare / Travel</v>
      </c>
    </row>
    <row r="151" spans="1:9" x14ac:dyDescent="0.3">
      <c r="A151" s="2">
        <v>45887</v>
      </c>
      <c r="B151" s="2" t="s">
        <v>221</v>
      </c>
      <c r="C151" t="s">
        <v>20</v>
      </c>
      <c r="D151" t="s">
        <v>21</v>
      </c>
      <c r="F151" s="3">
        <v>20</v>
      </c>
      <c r="G151" s="3">
        <v>271.3</v>
      </c>
      <c r="H151" t="s">
        <v>212</v>
      </c>
      <c r="I151" t="str">
        <f t="shared" si="4"/>
        <v>Mobile / Data</v>
      </c>
    </row>
    <row r="152" spans="1:9" x14ac:dyDescent="0.3">
      <c r="A152" s="2">
        <v>45887</v>
      </c>
      <c r="B152" s="2" t="s">
        <v>221</v>
      </c>
      <c r="C152" t="s">
        <v>200</v>
      </c>
      <c r="D152" t="s">
        <v>14</v>
      </c>
      <c r="F152" s="3">
        <v>9</v>
      </c>
      <c r="G152" s="3">
        <v>262.3</v>
      </c>
      <c r="H152" t="s">
        <v>209</v>
      </c>
      <c r="I152" t="str">
        <f t="shared" si="4"/>
        <v>Shopping</v>
      </c>
    </row>
    <row r="153" spans="1:9" x14ac:dyDescent="0.3">
      <c r="A153" s="2">
        <v>45888</v>
      </c>
      <c r="B153" s="2" t="s">
        <v>221</v>
      </c>
      <c r="C153" t="s">
        <v>169</v>
      </c>
      <c r="D153" t="s">
        <v>14</v>
      </c>
      <c r="F153" s="3">
        <v>6.5</v>
      </c>
      <c r="G153" s="3">
        <v>255.8</v>
      </c>
      <c r="H153" t="s">
        <v>207</v>
      </c>
      <c r="I153" t="str">
        <f t="shared" si="4"/>
        <v>Fare / Travel</v>
      </c>
    </row>
    <row r="154" spans="1:9" x14ac:dyDescent="0.3">
      <c r="A154" s="2">
        <v>45889</v>
      </c>
      <c r="B154" s="2" t="s">
        <v>221</v>
      </c>
      <c r="C154" t="s">
        <v>123</v>
      </c>
      <c r="D154" t="s">
        <v>72</v>
      </c>
      <c r="E154" s="3">
        <v>6</v>
      </c>
      <c r="G154" s="3">
        <v>261.8</v>
      </c>
      <c r="H154" t="s">
        <v>207</v>
      </c>
      <c r="I154" t="str">
        <f t="shared" si="4"/>
        <v>Fare / Travel</v>
      </c>
    </row>
    <row r="155" spans="1:9" x14ac:dyDescent="0.3">
      <c r="A155" s="2">
        <v>45889</v>
      </c>
      <c r="B155" s="2" t="s">
        <v>221</v>
      </c>
      <c r="C155" t="s">
        <v>123</v>
      </c>
      <c r="D155" t="s">
        <v>72</v>
      </c>
      <c r="E155" s="3">
        <v>6</v>
      </c>
      <c r="G155" s="3">
        <v>267.8</v>
      </c>
      <c r="H155" t="s">
        <v>207</v>
      </c>
      <c r="I155" t="str">
        <f t="shared" si="4"/>
        <v>Fare / Travel</v>
      </c>
    </row>
    <row r="156" spans="1:9" x14ac:dyDescent="0.3">
      <c r="A156" s="2">
        <v>45889</v>
      </c>
      <c r="B156" s="2" t="s">
        <v>221</v>
      </c>
      <c r="C156" t="s">
        <v>119</v>
      </c>
      <c r="D156" t="s">
        <v>68</v>
      </c>
      <c r="E156" s="3">
        <v>270</v>
      </c>
      <c r="G156" s="3">
        <v>537.79999999999995</v>
      </c>
      <c r="H156" t="s">
        <v>206</v>
      </c>
      <c r="I156" t="str">
        <f t="shared" si="4"/>
        <v>Friends &amp; Family</v>
      </c>
    </row>
    <row r="157" spans="1:9" x14ac:dyDescent="0.3">
      <c r="A157" s="2">
        <v>45889</v>
      </c>
      <c r="B157" s="2" t="s">
        <v>221</v>
      </c>
      <c r="C157" t="s">
        <v>125</v>
      </c>
      <c r="D157" t="s">
        <v>7</v>
      </c>
      <c r="F157" s="3">
        <v>500</v>
      </c>
      <c r="G157" s="3">
        <v>37.799999999999997</v>
      </c>
      <c r="H157" t="s">
        <v>213</v>
      </c>
      <c r="I157" t="str">
        <f t="shared" si="4"/>
        <v>Rent</v>
      </c>
    </row>
    <row r="158" spans="1:9" x14ac:dyDescent="0.3">
      <c r="A158" s="2">
        <v>45889</v>
      </c>
      <c r="B158" s="2" t="s">
        <v>221</v>
      </c>
      <c r="C158" t="s">
        <v>163</v>
      </c>
      <c r="D158" t="s">
        <v>14</v>
      </c>
      <c r="F158" s="3">
        <v>0.99</v>
      </c>
      <c r="G158" s="3">
        <v>36.81</v>
      </c>
      <c r="H158" t="s">
        <v>212</v>
      </c>
      <c r="I158" t="str">
        <f t="shared" si="4"/>
        <v>Mobile / Data</v>
      </c>
    </row>
    <row r="159" spans="1:9" x14ac:dyDescent="0.3">
      <c r="A159" s="2">
        <v>45889</v>
      </c>
      <c r="B159" s="2" t="s">
        <v>221</v>
      </c>
      <c r="C159" t="s">
        <v>169</v>
      </c>
      <c r="D159" t="s">
        <v>14</v>
      </c>
      <c r="F159" s="3">
        <v>6.5</v>
      </c>
      <c r="G159" s="3">
        <v>30.31</v>
      </c>
      <c r="H159" t="s">
        <v>207</v>
      </c>
      <c r="I159" t="str">
        <f t="shared" si="4"/>
        <v>Fare / Travel</v>
      </c>
    </row>
    <row r="160" spans="1:9" x14ac:dyDescent="0.3">
      <c r="A160" s="2">
        <v>45890</v>
      </c>
      <c r="B160" s="2" t="s">
        <v>221</v>
      </c>
      <c r="C160" t="s">
        <v>169</v>
      </c>
      <c r="D160" t="s">
        <v>14</v>
      </c>
      <c r="F160" s="3">
        <v>6.5</v>
      </c>
      <c r="G160" s="3">
        <v>23.81</v>
      </c>
      <c r="H160" t="s">
        <v>207</v>
      </c>
      <c r="I160" t="str">
        <f t="shared" si="4"/>
        <v>Fare / Travel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8D8F-18F1-4245-AB65-D9E64908FEBC}">
  <dimension ref="A1:A8"/>
  <sheetViews>
    <sheetView workbookViewId="0">
      <selection activeCell="C3" sqref="C3"/>
    </sheetView>
  </sheetViews>
  <sheetFormatPr defaultRowHeight="14.4" x14ac:dyDescent="0.3"/>
  <cols>
    <col min="1" max="1" width="13.109375" bestFit="1" customWidth="1"/>
  </cols>
  <sheetData>
    <row r="1" spans="1:1" x14ac:dyDescent="0.3">
      <c r="A1" t="s">
        <v>229</v>
      </c>
    </row>
    <row r="2" spans="1:1" x14ac:dyDescent="0.3">
      <c r="A2" t="s">
        <v>206</v>
      </c>
    </row>
    <row r="3" spans="1:1" x14ac:dyDescent="0.3">
      <c r="A3" t="s">
        <v>207</v>
      </c>
    </row>
    <row r="4" spans="1:1" x14ac:dyDescent="0.3">
      <c r="A4" t="s">
        <v>210</v>
      </c>
    </row>
    <row r="5" spans="1:1" x14ac:dyDescent="0.3">
      <c r="A5" t="s">
        <v>208</v>
      </c>
    </row>
    <row r="6" spans="1:1" x14ac:dyDescent="0.3">
      <c r="A6" t="s">
        <v>212</v>
      </c>
    </row>
    <row r="7" spans="1:1" x14ac:dyDescent="0.3">
      <c r="A7" t="s">
        <v>213</v>
      </c>
    </row>
    <row r="8" spans="1:1" x14ac:dyDescent="0.3">
      <c r="A8" t="s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4BD3-8948-4033-AEC4-CC0EBCC91F9A}">
  <dimension ref="A1:B8"/>
  <sheetViews>
    <sheetView workbookViewId="0">
      <selection activeCell="D3" sqref="D3"/>
    </sheetView>
  </sheetViews>
  <sheetFormatPr defaultRowHeight="14.4" x14ac:dyDescent="0.3"/>
  <cols>
    <col min="1" max="1" width="20.21875" bestFit="1" customWidth="1"/>
    <col min="2" max="2" width="13.109375" bestFit="1" customWidth="1"/>
  </cols>
  <sheetData>
    <row r="1" spans="1:2" x14ac:dyDescent="0.3">
      <c r="A1" t="s">
        <v>228</v>
      </c>
      <c r="B1" t="s">
        <v>229</v>
      </c>
    </row>
    <row r="2" spans="1:2" x14ac:dyDescent="0.3">
      <c r="A2" t="s">
        <v>222</v>
      </c>
      <c r="B2" t="s">
        <v>206</v>
      </c>
    </row>
    <row r="3" spans="1:2" x14ac:dyDescent="0.3">
      <c r="A3" t="s">
        <v>223</v>
      </c>
      <c r="B3" t="s">
        <v>207</v>
      </c>
    </row>
    <row r="4" spans="1:2" x14ac:dyDescent="0.3">
      <c r="A4" t="s">
        <v>224</v>
      </c>
      <c r="B4" t="s">
        <v>210</v>
      </c>
    </row>
    <row r="5" spans="1:2" x14ac:dyDescent="0.3">
      <c r="A5" t="s">
        <v>225</v>
      </c>
      <c r="B5" t="s">
        <v>208</v>
      </c>
    </row>
    <row r="6" spans="1:2" x14ac:dyDescent="0.3">
      <c r="A6" t="s">
        <v>226</v>
      </c>
      <c r="B6" t="s">
        <v>212</v>
      </c>
    </row>
    <row r="7" spans="1:2" x14ac:dyDescent="0.3">
      <c r="A7" t="s">
        <v>227</v>
      </c>
      <c r="B7" t="s">
        <v>213</v>
      </c>
    </row>
    <row r="8" spans="1:2" x14ac:dyDescent="0.3">
      <c r="A8" t="s">
        <v>213</v>
      </c>
      <c r="B8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10FFA2-BC6C-411B-947E-BDB9796870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Raw_June_Statement</vt:lpstr>
      <vt:lpstr>Cleaned_June_Statement</vt:lpstr>
      <vt:lpstr>Raw_July_Statement</vt:lpstr>
      <vt:lpstr>Cleaned_July_Statement</vt:lpstr>
      <vt:lpstr>Raw_August_Statement</vt:lpstr>
      <vt:lpstr>Cleaned_August_Statement</vt:lpstr>
      <vt:lpstr>MasterSheet</vt:lpstr>
      <vt:lpstr>Categories</vt:lpstr>
      <vt:lpstr>SubCategories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 Nnadi</dc:creator>
  <cp:lastModifiedBy>Chioma Nnadi</cp:lastModifiedBy>
  <dcterms:created xsi:type="dcterms:W3CDTF">2025-08-21T20:52:56Z</dcterms:created>
  <dcterms:modified xsi:type="dcterms:W3CDTF">2025-08-27T10:02:39Z</dcterms:modified>
</cp:coreProperties>
</file>